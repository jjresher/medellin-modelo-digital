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name="Instrucciones" sheetId="1" state="visible" r:id="rId1"/>
    <sheet name="1. Fuentes" sheetId="2" state="visible" r:id="rId2"/>
    <sheet name="2. Diccionario" sheetId="3" state="visible" r:id="rId3"/>
    <sheet name="3. Bitácora IA" sheetId="4" state="visible" r:id="rId4"/>
    <sheet name="Resumen" sheetId="5" state="visible" r:id="rId5"/>
    <sheet name="Protección" sheetId="6" state="visible" r:id="rId6"/>
    <sheet name="Cambios entrega 2" sheetId="7" state="visible" r:id="rId7"/>
  </sheets>
  <definedNames/>
  <calcPr calcId="124519" calcMode="auto" fullCalcOnLoad="1" forceFullCalc="1"/>
</workbook>
</file>

<file path=xl/styles.xml><?xml version="1.0" encoding="utf-8"?>
<styleSheet xmlns="http://schemas.openxmlformats.org/spreadsheetml/2006/main">
  <numFmts count="0"/>
  <fonts count="12">
    <font>
      <name val="Calibri"/>
      <color theme="1"/>
      <sz val="11"/>
      <scheme val="minor"/>
    </font>
    <font>
      <name val="Arial"/>
      <b val="1"/>
      <sz val="14"/>
    </font>
    <font>
      <name val="Arial"/>
      <color rgb="FF555555"/>
      <sz val="9"/>
    </font>
    <font>
      <name val="Arial"/>
      <sz val="10"/>
    </font>
    <font>
      <name val="Arial"/>
      <b val="1"/>
      <sz val="11"/>
    </font>
    <font>
      <name val="Arial"/>
      <i val="1"/>
      <color rgb="FF555555"/>
      <sz val="9"/>
    </font>
    <font>
      <name val="Arial"/>
      <b val="1"/>
      <color indexed="65"/>
      <sz val="10"/>
    </font>
    <font>
      <name val="Arial"/>
      <i val="1"/>
      <color rgb="FF666666"/>
      <sz val="9"/>
    </font>
    <font>
      <name val="Calibri"/>
      <color theme="10"/>
      <sz val="11"/>
      <u val="single"/>
    </font>
    <font>
      <name val="Arial"/>
      <sz val="11"/>
    </font>
    <font>
      <name val="Arial"/>
      <b val="1"/>
      <sz val="10"/>
    </font>
    <font>
      <b val="1"/>
    </font>
  </fonts>
  <fills count="5">
    <fill>
      <patternFill/>
    </fill>
    <fill>
      <patternFill patternType="gray125"/>
    </fill>
    <fill>
      <patternFill patternType="solid">
        <fgColor rgb="FFFFF7CC"/>
      </patternFill>
    </fill>
    <fill>
      <patternFill patternType="solid">
        <fgColor rgb="FF1F1F1F"/>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3" fillId="2" borderId="0" applyAlignment="1" pivotButton="0" quotePrefix="0" xfId="0">
      <alignment wrapText="1"/>
    </xf>
    <xf numFmtId="0" fontId="1" fillId="0" borderId="0" pivotButton="0" quotePrefix="0" xfId="0"/>
    <xf numFmtId="0" fontId="5" fillId="0" borderId="0" pivotButton="0" quotePrefix="0" xfId="0"/>
    <xf numFmtId="0" fontId="6" fillId="3" borderId="1" applyAlignment="1" pivotButton="0" quotePrefix="0" xfId="0">
      <alignment vertical="center" wrapText="1"/>
    </xf>
    <xf numFmtId="0" fontId="7" fillId="4" borderId="1" applyAlignment="1" pivotButton="0" quotePrefix="0" xfId="0">
      <alignment vertical="top" wrapText="1"/>
    </xf>
    <xf numFmtId="0" fontId="3"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0" borderId="0"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dane.gov.co/files/censo2018/proyecciones-de-poblacion/Municipal/PPED-AreaMun-2018-2042_VP.xlsx" TargetMode="External" Id="rId1" /><Relationship Type="http://schemas.openxmlformats.org/officeDocument/2006/relationships/hyperlink" Target="https://portalidem.metropol.gov.co/server/rest/services/DISTRITO_MEDELLIN_CATASTRO/MapServer" TargetMode="External" Id="rId2" /></Relationships>
</file>

<file path=xl/worksheets/sheet1.xml><?xml version="1.0" encoding="utf-8"?>
<worksheet xmlns="http://schemas.openxmlformats.org/spreadsheetml/2006/main">
  <sheetPr>
    <outlinePr applyStyles="0" summaryBelow="1" summaryRight="1" showOutlineSymbols="1"/>
    <pageSetUpPr autoPageBreaks="1" fitToPage="0"/>
  </sheetPr>
  <dimension ref="B1:B23"/>
  <sheetViews>
    <sheetView zoomScale="100" workbookViewId="0">
      <selection activeCell="A1" activeCellId="0" sqref="A1"/>
    </sheetView>
  </sheetViews>
  <sheetFormatPr baseColWidth="10" defaultColWidth="8.83203125" defaultRowHeight="14.25"/>
  <cols>
    <col width="4" customWidth="1" min="1" max="1"/>
    <col width="110" customWidth="1" min="2" max="2"/>
  </cols>
  <sheetData>
    <row r="1" ht="16.5" customHeight="1">
      <c r="B1" s="1" t="inlineStr">
        <is>
          <t>Taller de datos · Entrega 2 · El lago y su diccionario, actualizado</t>
        </is>
      </c>
    </row>
    <row r="2">
      <c r="B2" s="2" t="inlineStr">
        <is>
          <t>Tópicos de Sistemas de Información · Profesor Santiago Jiménez Londoño · topicos-si.vercel.app/Tallerdatos</t>
        </is>
      </c>
    </row>
    <row r="3">
      <c r="B3" s="3" t="n"/>
    </row>
    <row r="4" ht="16" customHeight="1">
      <c r="B4" s="4" t="inlineStr">
        <is>
          <t>Datos del grupo</t>
        </is>
      </c>
    </row>
    <row r="5">
      <c r="B5" s="5" t="inlineStr">
        <is>
          <t>Ciudad elegida: Medellín</t>
        </is>
      </c>
    </row>
    <row r="6">
      <c r="B6" s="5" t="inlineStr">
        <is>
          <t>Integrantes: Juan Jose Restrepo y Samuel Madrid Ossa</t>
        </is>
      </c>
    </row>
    <row r="7">
      <c r="B7" s="5" t="inlineStr">
        <is>
          <t>Enlace al repositorio o a la carpeta del lago: https://github.com/jjresher/medellin-modelo-digital/</t>
        </is>
      </c>
    </row>
    <row r="8">
      <c r="B8" s="3" t="n"/>
    </row>
    <row r="9" ht="16" customHeight="1">
      <c r="B9" s="4" t="inlineStr">
        <is>
          <t>Qué entregan en este archivo</t>
        </is>
      </c>
    </row>
    <row r="10" ht="25.5" customHeight="1">
      <c r="B10" s="3" t="inlineStr">
        <is>
          <t>1. Fuentes · una fila por cada fuente que encontraron en el rastreo, entre o no al lago. Las descartadas también cuentan: explican las decisiones.</t>
        </is>
      </c>
    </row>
    <row r="11">
      <c r="B11" s="3" t="inlineStr">
        <is>
          <t>2. Diccionario · una fila por cada campo (columna o clave del JSON) que quedó en el lago. Si un campo no está aquí, no existe.</t>
        </is>
      </c>
    </row>
    <row r="12">
      <c r="B12" s="3" t="inlineStr">
        <is>
          <t>3. Bitácora IA · qué le encargaron a la IA durante la búsqueda, qué respondió y cómo lo comprobaron.</t>
        </is>
      </c>
    </row>
    <row r="13">
      <c r="B13" s="3" t="inlineStr">
        <is>
          <t>Resumen · se llena solo con fórmulas. No lo editen.</t>
        </is>
      </c>
    </row>
    <row r="14">
      <c r="B14" s="3" t="n"/>
    </row>
    <row r="15" ht="16" customHeight="1">
      <c r="B15" s="4" t="inlineStr">
        <is>
          <t>Cómo llenarlo</t>
        </is>
      </c>
    </row>
    <row r="16" ht="25.5" customHeight="1">
      <c r="B16" s="3" t="inlineStr">
        <is>
          <t>• Escriban solo en las celdas amarillas. La fila gris de cada hoja es un ejemplo (Medellín): pueden borrarla o dejarla, el resumen no la cuenta.</t>
        </is>
      </c>
    </row>
    <row r="17">
      <c r="B17" s="3" t="inlineStr">
        <is>
          <t>• El ID de fuente (F01, F02…) une las tres hojas: úsenlo igual en Fuentes, Diccionario y Bitácora IA.</t>
        </is>
      </c>
    </row>
    <row r="18">
      <c r="B18" s="3" t="inlineStr">
        <is>
          <t>• Las columnas con lista desplegable solo aceptan esas opciones.</t>
        </is>
      </c>
    </row>
    <row r="19">
      <c r="B19" s="3" t="inlineStr">
        <is>
          <t>• La licencia se copia tal como aparece en la fuente. Si la fuente no dice nada, escriban «no declara»: no la supongan.</t>
        </is>
      </c>
    </row>
    <row r="20">
      <c r="B20" s="3" t="inlineStr">
        <is>
          <t>• «Fecha en que la probaron» es el día en que la descarga o la API respondió de verdad, no el día en que la IA la mencionó.</t>
        </is>
      </c>
    </row>
    <row r="21">
      <c r="B21" s="3" t="inlineStr">
        <is>
          <t>• Una fuente que la IA nombró y que ustedes no pudieron abrir va igual en Fuentes, con estado «No responde» o «No existe».</t>
        </is>
      </c>
    </row>
    <row r="23">
      <c r="B23" t="inlineStr">
        <is>
          <t>Actualizado el 2026-10-25 por ingesta/diccionario.py desde el lago. La hoja «Cambios entrega 2» lista cada cambio frente a la entrega 1, y la hoja «Protección» qué trae cada fuente sobre personas y qué llega al lago.</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1" summaryRight="1" showOutlineSymbols="1"/>
    <pageSetUpPr autoPageBreaks="1" fitToPage="0"/>
  </sheetPr>
  <dimension ref="A1:P97"/>
  <sheetViews>
    <sheetView zoomScale="100" workbookViewId="0">
      <pane xSplit="1" ySplit="3" topLeftCell="B4" activePane="bottomRight" state="frozen"/>
      <selection activeCell="A1" activeCellId="0" sqref="A1"/>
    </sheetView>
  </sheetViews>
  <sheetFormatPr baseColWidth="10" defaultColWidth="8.83203125" defaultRowHeight="14.25"/>
  <cols>
    <col width="9" customWidth="1" min="1" max="1"/>
    <col width="28" customWidth="1" min="2" max="2"/>
    <col width="22" customWidth="1" min="3" max="3"/>
    <col width="18" customWidth="1" min="4" max="4"/>
    <col width="36" customWidth="1" min="5" max="5"/>
    <col width="12" customWidth="1" min="6" max="6"/>
    <col width="18" customWidth="1" min="7" max="7"/>
    <col width="22" customWidth="1" min="8" max="8"/>
    <col width="18" customWidth="1" min="9" max="9"/>
    <col width="16" customWidth="1" min="10" max="10"/>
    <col width="14" customWidth="1" min="11" max="13"/>
    <col width="20" customWidth="1" min="14" max="14"/>
    <col width="26" customWidth="1" min="15" max="15"/>
    <col width="32" customWidth="1" min="16" max="16"/>
  </cols>
  <sheetData>
    <row r="1" ht="16.5" customHeight="1">
      <c r="A1" s="6" t="inlineStr">
        <is>
          <t>1. Catálogo de fuentes</t>
        </is>
      </c>
    </row>
    <row r="2">
      <c r="A2" s="7" t="inlineStr">
        <is>
          <t>Una fila por fuente encontrada. Escriban en las celdas amarillas; la fila gris es un ejemplo.</t>
        </is>
      </c>
    </row>
    <row r="3" ht="42" customHeight="1">
      <c r="A3" s="8" t="inlineStr">
        <is>
          <t>ID fuente</t>
        </is>
      </c>
      <c r="B3" s="8" t="inlineStr">
        <is>
          <t>Nombre del conjunto de datos</t>
        </is>
      </c>
      <c r="C3" s="8" t="inlineStr">
        <is>
          <t>Entidad que lo publica</t>
        </is>
      </c>
      <c r="D3" s="8" t="inlineStr">
        <is>
          <t>Tipo de publicador</t>
        </is>
      </c>
      <c r="E3" s="8" t="inlineStr">
        <is>
          <t>URL exacta (descarga o API)</t>
        </is>
      </c>
      <c r="F3" s="8" t="inlineStr">
        <is>
          <t>Formato</t>
        </is>
      </c>
      <c r="G3" s="8" t="inlineStr">
        <is>
          <t>Cómo se obtiene</t>
        </is>
      </c>
      <c r="H3" s="8" t="inlineStr">
        <is>
          <t>Licencia (tal como aparece)</t>
        </is>
      </c>
      <c r="I3" s="8" t="inlineStr">
        <is>
          <t>¿Trae datos de personas?</t>
        </is>
      </c>
      <c r="J3" s="8" t="inlineStr">
        <is>
          <t>Cobertura geográfica</t>
        </is>
      </c>
      <c r="K3" s="8" t="inlineStr">
        <is>
          <t>Periodo que cubre</t>
        </is>
      </c>
      <c r="L3" s="8" t="inlineStr">
        <is>
          <t>Frecuencia de actualización</t>
        </is>
      </c>
      <c r="M3" s="8" t="inlineStr">
        <is>
          <t>Fecha en que la probaron (AAAA-MM-DD)</t>
        </is>
      </c>
      <c r="N3" s="8" t="inlineStr">
        <is>
          <t>Estado</t>
        </is>
      </c>
      <c r="O3" s="8" t="inlineStr">
        <is>
          <t>Cómo la encontraron (IA o búsqueda)</t>
        </is>
      </c>
      <c r="P3" s="8" t="inlineStr">
        <is>
          <t>Observaciones</t>
        </is>
      </c>
    </row>
    <row r="4" ht="45" customHeight="1">
      <c r="A4" s="9" t="inlineStr">
        <is>
          <t>F01</t>
        </is>
      </c>
      <c r="B4" s="9" t="inlineStr">
        <is>
          <t>Vistas mensuales del artículo «Medellín» en Wikipedia</t>
        </is>
      </c>
      <c r="C4" s="9" t="inlineStr">
        <is>
          <t>Wikimedia Foundation</t>
        </is>
      </c>
      <c r="D4" s="9" t="inlineStr">
        <is>
          <t>Plataforma colaborativa</t>
        </is>
      </c>
      <c r="E4" s="9" t="inlineStr">
        <is>
          <t>https://wikimedia.org/api/rest_v1/metrics/pageviews/per-article/es.wikipedia/all-access/user/Medellín/monthly/20250101/20260831</t>
        </is>
      </c>
      <c r="F4" s="9" t="inlineStr">
        <is>
          <t>JSON</t>
        </is>
      </c>
      <c r="G4" s="9" t="inlineStr">
        <is>
          <t>API sin llave</t>
        </is>
      </c>
      <c r="H4" s="9" t="inlineStr">
        <is>
          <t>CC0</t>
        </is>
      </c>
      <c r="I4" s="9" t="inlineStr">
        <is>
          <t>No</t>
        </is>
      </c>
      <c r="J4" s="9" t="inlineStr">
        <is>
          <t>Ciudad (artículo)</t>
        </is>
      </c>
      <c r="K4" s="9" t="inlineStr">
        <is>
          <t>2025-01 a 2026-08</t>
        </is>
      </c>
      <c r="L4" s="9" t="inlineStr">
        <is>
          <t>Mensual</t>
        </is>
      </c>
      <c r="M4" s="9" t="inlineStr">
        <is>
          <t>2026-09-14</t>
        </is>
      </c>
      <c r="N4" s="9" t="inlineStr">
        <is>
          <t>Integrada al lago</t>
        </is>
      </c>
      <c r="O4" s="9" t="inlineStr">
        <is>
          <t>Se la pedimos a la IA como «fuente de interés público sobre la ciudad»; la probamos con curl</t>
        </is>
      </c>
      <c r="P4" s="9" t="inlineStr">
        <is>
          <t>Cuenta personas, no bots (agente «user»).</t>
        </is>
      </c>
    </row>
    <row r="5" ht="51" customHeight="1">
      <c r="A5" s="10" t="inlineStr">
        <is>
          <t>F001</t>
        </is>
      </c>
      <c r="B5" s="10" t="inlineStr">
        <is>
          <t>Proyecciones de población municipal por área 2018–2042 (PPED, actualización de julio de 2025)</t>
        </is>
      </c>
      <c r="C5" s="10" t="inlineStr">
        <is>
          <t>DANE</t>
        </is>
      </c>
      <c r="D5" s="10" t="inlineStr">
        <is>
          <t>Entidad pública</t>
        </is>
      </c>
      <c r="E5" s="11" t="inlineStr">
        <is>
          <t>https://www.dane.gov.co/files/censo2018/proyecciones-de-poblacion/Municipal/PPED-AreaMun-2018-2042_VP.xlsx</t>
        </is>
      </c>
      <c r="F5" s="10" t="inlineStr">
        <is>
          <t>XLSX</t>
        </is>
      </c>
      <c r="G5" s="10" t="inlineStr">
        <is>
          <t>Descarga directa</t>
        </is>
      </c>
      <c r="H5" s="10" t="inlineStr">
        <is>
          <t>Se autoriza el uso, aprovechamiento, transformación y análisis de la información contenida en esta portal, siempre y cuando se haga la siguiente cita textual: “Fuente: Departamento Administrativo Nacional de Estadística: www.dane.gov.co”</t>
        </is>
      </c>
      <c r="I5" s="10" t="inlineStr">
        <is>
          <t>Solo conteos por zona</t>
        </is>
      </c>
      <c r="J5" s="10" t="inlineStr">
        <is>
          <t>Nacional, por municipio y área (se usa Medellín)</t>
        </is>
      </c>
      <c r="K5" s="10" t="inlineStr">
        <is>
          <t>2018 – 2042</t>
        </is>
      </c>
      <c r="L5" s="10" t="inlineStr">
        <is>
          <t>Única vez</t>
        </is>
      </c>
      <c r="M5" s="10" t="inlineStr">
        <is>
          <t>2026-10-24</t>
        </is>
      </c>
      <c r="N5" s="10" t="inlineStr">
        <is>
          <t>Integrada al lago</t>
        </is>
      </c>
      <c r="O5" s="10" t="inlineStr">
        <is>
          <t>Página de anexos del DANE, indicada por la IA</t>
        </is>
      </c>
      <c r="P5" s="10" t="inlineStr">
        <is>
          <t>Proyecciones a partir del Censo 2018; se republican cuando el DANE las revisa (última: julio de 2025). · Entrega 2: Abierto. Licencia leída el 2026-10-24 en https://www.dane.gov.co/index.php/terminos-y-condiciones.</t>
        </is>
      </c>
    </row>
    <row r="6" ht="51" customHeight="1">
      <c r="A6" s="10" t="inlineStr">
        <is>
          <t>F002</t>
        </is>
      </c>
      <c r="B6" s="10" t="inlineStr">
        <is>
          <t>Proyecciones de población municipal por área, sexo y edad 2018–2042 (PPED)</t>
        </is>
      </c>
      <c r="C6" s="10" t="inlineStr">
        <is>
          <t>DANE</t>
        </is>
      </c>
      <c r="D6" s="10" t="inlineStr">
        <is>
          <t>Entidad pública</t>
        </is>
      </c>
      <c r="E6" s="10" t="inlineStr">
        <is>
          <t>https://www.dane.gov.co/files/censo2018/proyecciones-de-poblacion/Municipal/PPED-AreaSexoEdadMun-2018-2042_VP.xlsx</t>
        </is>
      </c>
      <c r="F6" s="10" t="inlineStr">
        <is>
          <t>XLSX</t>
        </is>
      </c>
      <c r="G6" s="10" t="inlineStr">
        <is>
          <t>Descarga directa</t>
        </is>
      </c>
      <c r="H6" s="10" t="inlineStr">
        <is>
          <t>Se autoriza el uso, aprovechamiento, transformación y análisis de la información contenida en esta portal, siempre y cuando se haga la siguiente cita textual: “Fuente: Departamento Administrativo Nacional de Estadística: www.dane.gov.co”</t>
        </is>
      </c>
      <c r="I6" s="10" t="inlineStr">
        <is>
          <t>Solo conteos por zona</t>
        </is>
      </c>
      <c r="J6" s="10" t="inlineStr">
        <is>
          <t>Nacional, por municipio, sexo y edad (se usa Medellín)</t>
        </is>
      </c>
      <c r="K6" s="10" t="inlineStr">
        <is>
          <t>2026</t>
        </is>
      </c>
      <c r="L6" s="10" t="inlineStr">
        <is>
          <t>Única vez</t>
        </is>
      </c>
      <c r="M6" s="10" t="inlineStr">
        <is>
          <t>2026-10-24</t>
        </is>
      </c>
      <c r="N6" s="10" t="inlineStr">
        <is>
          <t>Integrada al lago</t>
        </is>
      </c>
      <c r="O6" s="10" t="inlineStr">
        <is>
          <t>Página de anexos del DANE, indicada por la IA</t>
        </is>
      </c>
      <c r="P6" s="10" t="inlineStr">
        <is>
          <t>Misma operación estadística que dane-pped; trae pirámide por edad simple. · Entrega 2: Abierto. Licencia leída el 2026-10-24 en https://www.dane.gov.co/index.php/terminos-y-condiciones.</t>
        </is>
      </c>
    </row>
    <row r="7" ht="51" customHeight="1">
      <c r="A7" s="10" t="inlineStr">
        <is>
          <t>F003</t>
        </is>
      </c>
      <c r="B7" s="10" t="inlineStr">
        <is>
          <t>Proyecciones de población, hogares y viviendas 2018–2030 por comuna y corregimiento</t>
        </is>
      </c>
      <c r="C7" s="10" t="inlineStr">
        <is>
          <t>Departamento Administrativo de Planeación · Alcaldía de Medellín</t>
        </is>
      </c>
      <c r="D7" s="10" t="inlineStr">
        <is>
          <t>Entidad pública</t>
        </is>
      </c>
      <c r="E7" s="10" t="inlineStr">
        <is>
          <t>https://www.medellin.gov.co/servidormapas/rest/services/mapas_nacionales/VC_Distribucion_Poblacional/MapServer</t>
        </is>
      </c>
      <c r="F7" s="10" t="inlineStr">
        <is>
          <t>JSON</t>
        </is>
      </c>
      <c r="G7" s="10" t="inlineStr">
        <is>
          <t>API sin llave</t>
        </is>
      </c>
      <c r="H7" s="10" t="inlineStr">
        <is>
          <t>no declara</t>
        </is>
      </c>
      <c r="I7" s="10" t="inlineStr">
        <is>
          <t>Solo conteos por zona</t>
        </is>
      </c>
      <c r="J7" s="10" t="inlineStr">
        <is>
          <t>Medellín, por comuna y corregimiento</t>
        </is>
      </c>
      <c r="K7" s="10" t="inlineStr">
        <is>
          <t>2026</t>
        </is>
      </c>
      <c r="L7" s="10" t="inlineStr">
        <is>
          <t>Única vez</t>
        </is>
      </c>
      <c r="M7" s="10" t="inlineStr">
        <is>
          <t>2026-10-24</t>
        </is>
      </c>
      <c r="N7" s="10" t="inlineStr">
        <is>
          <t>Integrada al lago</t>
        </is>
      </c>
      <c r="O7" s="10" t="inlineStr">
        <is>
          <t>Servidor de mapas de la Alcaldía (ArcGIS REST), explorado por carpetas con ayuda de IA</t>
        </is>
      </c>
      <c r="P7" s="10" t="inlineStr">
        <is>
          <t>Proyección elaborada en 2018, anterior a las actualizaciones del DANE; puede diferir de dane-pped. · Entrega 2: Abierto. Licencia leída el 2026-10-24 en https://www.medellin.gov.co/servidormapas/rest/services/mapas_nacionales/VC_Distribucion_Poblacional/MapServer. El servicio ArcGIS tiene el campo copyrightText vacío.</t>
        </is>
      </c>
    </row>
    <row r="8" ht="51" customHeight="1">
      <c r="A8" s="10" t="inlineStr">
        <is>
          <t>F004</t>
        </is>
      </c>
      <c r="B8" s="10" t="inlineStr">
        <is>
          <t>Indicadores de la Encuesta de Calidad de Vida por comuna y corregimiento (IMCV, pobreza multidimensional, IDH)</t>
        </is>
      </c>
      <c r="C8" s="10" t="inlineStr">
        <is>
          <t>Departamento Administrativo de Planeación · Alcaldía de Medellín</t>
        </is>
      </c>
      <c r="D8" s="10" t="inlineStr">
        <is>
          <t>Entidad pública</t>
        </is>
      </c>
      <c r="E8" s="10" t="inlineStr">
        <is>
          <t>https://www.medellin.gov.co/servidormapas/rest/services/estadisticas/VC_Indicadores_ECV/MapServer</t>
        </is>
      </c>
      <c r="F8" s="10" t="inlineStr">
        <is>
          <t>JSON</t>
        </is>
      </c>
      <c r="G8" s="10" t="inlineStr">
        <is>
          <t>API sin llave</t>
        </is>
      </c>
      <c r="H8" s="10" t="inlineStr">
        <is>
          <t>no declara</t>
        </is>
      </c>
      <c r="I8" s="10" t="inlineStr">
        <is>
          <t>Solo conteos por zona</t>
        </is>
      </c>
      <c r="J8" s="10" t="inlineStr">
        <is>
          <t>Medellín, por comuna y corregimiento</t>
        </is>
      </c>
      <c r="K8" s="10" t="inlineStr">
        <is>
          <t>2014–2021 · 2014–2024</t>
        </is>
      </c>
      <c r="L8" s="10" t="inlineStr">
        <is>
          <t>Anual</t>
        </is>
      </c>
      <c r="M8" s="10" t="inlineStr">
        <is>
          <t>2026-10-24</t>
        </is>
      </c>
      <c r="N8" s="10" t="inlineStr">
        <is>
          <t>Integrada al lago</t>
        </is>
      </c>
      <c r="O8" s="10" t="inlineStr">
        <is>
          <t>Servidor de mapas de la Alcaldía (ArcGIS REST), explorado por carpetas con ayuda de IA</t>
        </is>
      </c>
      <c r="P8" s="10" t="inlineStr">
        <is>
          <t>Indicadores derivados de la Encuesta de Calidad de Vida (microdatos no incluidos). · Entrega 2: Abierto. Licencia leída el 2026-10-24 en https://www.medellin.gov.co/servidormapas/rest/services/estadisticas/VC_Indicadores_ECV/MapServer. El servicio solo trae un crédito (copyrightText): «Alcaldía de Medellín - Departamento Administrativo de Planeación - Subdirección de Prospectiva, Información y Evaluación Estratégica - Unidad de Producción de la Información».</t>
        </is>
      </c>
    </row>
    <row r="9" ht="51" customHeight="1">
      <c r="A9" s="10" t="inlineStr">
        <is>
          <t>F005</t>
        </is>
      </c>
      <c r="B9" s="10" t="inlineStr">
        <is>
          <t>Estadística de estratificación por manzana (catastro)</t>
        </is>
      </c>
      <c r="C9" s="10" t="inlineStr">
        <is>
          <t>Subsecretaría de Catastro · Alcaldía de Medellín</t>
        </is>
      </c>
      <c r="D9" s="10" t="inlineStr">
        <is>
          <t>Entidad pública</t>
        </is>
      </c>
      <c r="E9" s="10" t="inlineStr">
        <is>
          <t>https://www.medellin.gov.co/servidormapas/rest/services/ServiciosCatastro/ConsultaOperadorCatastral_geo/MapServer/23</t>
        </is>
      </c>
      <c r="F9" s="10" t="inlineStr">
        <is>
          <t>JSON</t>
        </is>
      </c>
      <c r="G9" s="10" t="inlineStr">
        <is>
          <t>API sin llave</t>
        </is>
      </c>
      <c r="H9" s="10" t="inlineStr">
        <is>
          <t>no declara</t>
        </is>
      </c>
      <c r="I9" s="10" t="inlineStr">
        <is>
          <t>No</t>
        </is>
      </c>
      <c r="J9" s="10" t="inlineStr">
        <is>
          <t>Medellín, por manzana</t>
        </is>
      </c>
      <c r="K9" s="10" t="inlineStr">
        <is>
          <t>Base catastral consultada el 2026-10-24</t>
        </is>
      </c>
      <c r="L9" s="10" t="inlineStr">
        <is>
          <t>Anual</t>
        </is>
      </c>
      <c r="M9" s="10" t="inlineStr">
        <is>
          <t>2026-10-24</t>
        </is>
      </c>
      <c r="N9" s="10" t="inlineStr">
        <is>
          <t>Integrada al lago</t>
        </is>
      </c>
      <c r="O9" s="10" t="inlineStr">
        <is>
          <t>Servidor de mapas de la Alcaldía (ArcGIS REST), explorado por carpetas con ayuda de IA</t>
        </is>
      </c>
      <c r="P9" s="10" t="inlineStr">
        <is>
          <t>Estadística de manzanas por estrato; no hay datos de propietarios ni de hogares. · Entrega 2: Abierto. Licencia leída el 2026-10-24 en https://www.medellin.gov.co/servidormapas/rest/services/ServiciosCatastro/ConsultaOperadorCatastral_geo/MapServer. El servicio solo trae un crédito (copyrightText): «Subsecretaria de Catastro,  Equipo de Geodatabase».</t>
        </is>
      </c>
    </row>
    <row r="10" ht="51" customHeight="1">
      <c r="A10" s="10" t="inlineStr">
        <is>
          <t>F006</t>
        </is>
      </c>
      <c r="B10" s="10" t="inlineStr">
        <is>
          <t>Eventos de salud por comuna y corregimiento: natalidad, mortalidad y dengue (SIVIGILA)</t>
        </is>
      </c>
      <c r="C10" s="10" t="inlineStr">
        <is>
          <t>Secretaría de Salud · Alcaldía de Medellín</t>
        </is>
      </c>
      <c r="D10" s="10" t="inlineStr">
        <is>
          <t>Entidad pública</t>
        </is>
      </c>
      <c r="E10" s="10" t="inlineStr">
        <is>
          <t>https://www.medellin.gov.co/servidormapas/rest/services/salud_protec_soc/VC_Datos_Enfermedades/MapServer</t>
        </is>
      </c>
      <c r="F10" s="10" t="inlineStr">
        <is>
          <t>JSON</t>
        </is>
      </c>
      <c r="G10" s="10" t="inlineStr">
        <is>
          <t>API sin llave</t>
        </is>
      </c>
      <c r="H10" s="10" t="inlineStr">
        <is>
          <t>no declara</t>
        </is>
      </c>
      <c r="I10" s="10" t="inlineStr">
        <is>
          <t>Solo conteos por zona</t>
        </is>
      </c>
      <c r="J10" s="10" t="inlineStr">
        <is>
          <t>Medellín, por comuna y corregimiento</t>
        </is>
      </c>
      <c r="K10" s="10" t="inlineStr">
        <is>
          <t>2022</t>
        </is>
      </c>
      <c r="L10" s="10" t="inlineStr">
        <is>
          <t>Anual</t>
        </is>
      </c>
      <c r="M10" s="10" t="inlineStr">
        <is>
          <t>2026-10-24</t>
        </is>
      </c>
      <c r="N10" s="10" t="inlineStr">
        <is>
          <t>Integrada al lago</t>
        </is>
      </c>
      <c r="O10" s="10" t="inlineStr">
        <is>
          <t>Servidor de mapas de la Alcaldía (ArcGIS REST), explorado por carpetas con ayuda de IA</t>
        </is>
      </c>
      <c r="P10" s="10" t="inlineStr">
        <is>
          <t>Datos de salud agregados (nacimientos, muertes, dengue); el último año publicado es 2022. · Entrega 2: Abierto. Licencia leída el 2026-10-24 en https://www.medellin.gov.co/servidormapas/rest/services/salud_protec_soc/VC_Datos_Enfermedades/MapServer. El servicio solo trae un crédito (copyrightText): «Grupo Geográfico».</t>
        </is>
      </c>
    </row>
    <row r="11" ht="63.75" customHeight="1">
      <c r="A11" s="10" t="inlineStr">
        <is>
          <t>F007</t>
        </is>
      </c>
      <c r="B11" s="10" t="inlineStr">
        <is>
          <t>Gran Encuesta Integrada de Hogares · anexo 23 ciudades</t>
        </is>
      </c>
      <c r="C11" s="10" t="inlineStr">
        <is>
          <t>DANE</t>
        </is>
      </c>
      <c r="D11" s="10" t="inlineStr">
        <is>
          <t>Entidad pública</t>
        </is>
      </c>
      <c r="E11" s="10" t="inlineStr">
        <is>
          <t>https://www.dane.gov.co/files/operaciones/GEIH/anex-GEIH-jul2026.xlsx</t>
        </is>
      </c>
      <c r="F11" s="10" t="inlineStr">
        <is>
          <t>XLSX</t>
        </is>
      </c>
      <c r="G11" s="10" t="inlineStr">
        <is>
          <t>Descarga directa</t>
        </is>
      </c>
      <c r="H11" s="10" t="inlineStr">
        <is>
          <t>Se autoriza el uso, aprovechamiento, transformación y análisis de la información contenida en esta portal, siempre y cuando se haga la siguiente cita textual: “Fuente: Departamento Administrativo Nacional de Estadística: www.dane.gov.co”</t>
        </is>
      </c>
      <c r="I11" s="10" t="inlineStr">
        <is>
          <t>Solo conteos por zona</t>
        </is>
      </c>
      <c r="J11" s="10" t="inlineStr">
        <is>
          <t>Nacional, 23 ciudades y áreas metropolitanas (se usa Medellín A.M.)</t>
        </is>
      </c>
      <c r="K11" s="10" t="inlineStr">
        <is>
          <t>ene–mar 2007 – jun–ago 2026</t>
        </is>
      </c>
      <c r="L11" s="10" t="inlineStr">
        <is>
          <t>Mensual</t>
        </is>
      </c>
      <c r="M11" s="10" t="inlineStr">
        <is>
          <t>2026-10-24</t>
        </is>
      </c>
      <c r="N11" s="10" t="inlineStr">
        <is>
          <t>Integrada al lago</t>
        </is>
      </c>
      <c r="O11" s="10" t="inlineStr">
        <is>
          <t>Página de anexos del DANE, indicada por la IA</t>
        </is>
      </c>
      <c r="P11" s="10" t="inlineStr">
        <is>
          <t>Es el anexo en Excel de la GEIH, con indicadores agregados y trimestres móviles; no son los microdatos. · Entrega 2: Abierto. Licencia leída el 2026-10-24 en https://www.dane.gov.co/index.php/terminos-y-condiciones.</t>
        </is>
      </c>
    </row>
    <row r="12" ht="51" customHeight="1">
      <c r="A12" s="10" t="inlineStr">
        <is>
          <t>F008</t>
        </is>
      </c>
      <c r="B12" s="10" t="inlineStr">
        <is>
          <t>Observatorio Inmobiliario de Medellín (OIME): ofertas de vivienda investigadas por el Catastro</t>
        </is>
      </c>
      <c r="C12" s="10" t="inlineStr">
        <is>
          <t>Subsecretaría de Catastro · Alcaldía de Medellín</t>
        </is>
      </c>
      <c r="D12" s="10" t="inlineStr">
        <is>
          <t>Entidad pública</t>
        </is>
      </c>
      <c r="E12" s="10" t="inlineStr">
        <is>
          <t>https://www.medellin.gov.co/servidormapas/rest/services/vivienda_ciudad_terri/VM_Oferta_Comercial_Oime/MapServer/0</t>
        </is>
      </c>
      <c r="F12" s="10" t="inlineStr">
        <is>
          <t>JSON</t>
        </is>
      </c>
      <c r="G12" s="10" t="inlineStr">
        <is>
          <t>API sin llave</t>
        </is>
      </c>
      <c r="H12" s="10" t="inlineStr">
        <is>
          <t>no declara</t>
        </is>
      </c>
      <c r="I12" s="10" t="inlineStr">
        <is>
          <t>No</t>
        </is>
      </c>
      <c r="J12" s="10" t="inlineStr">
        <is>
          <t>Medellín, ofertas puntuales de vivienda</t>
        </is>
      </c>
      <c r="K12" s="10" t="inlineStr">
        <is>
          <t>2008 – 2025</t>
        </is>
      </c>
      <c r="L12" s="10" t="inlineStr">
        <is>
          <t>Anual</t>
        </is>
      </c>
      <c r="M12" s="10" t="inlineStr">
        <is>
          <t>2026-10-24</t>
        </is>
      </c>
      <c r="N12" s="10" t="inlineStr">
        <is>
          <t>Integrada al lago</t>
        </is>
      </c>
      <c r="O12" s="10" t="inlineStr">
        <is>
          <t>Servidor de mapas de la Alcaldía (ArcGIS REST), explorado por carpetas con ayuda de IA</t>
        </is>
      </c>
      <c r="P12" s="10" t="inlineStr">
        <is>
          <t>Ofertas de venta y arriendo investigadas por el Catastro; precios por m² por estrato y comuna. · Entrega 2: Abierto. Licencia leída el 2026-10-24 en https://www.medellin.gov.co/servidormapas/rest/services/vivienda_ciudad_terri/VM_Oferta_Comercial_Oime/MapServer. El servicio ArcGIS tiene el campo copyrightText vacío.</t>
        </is>
      </c>
    </row>
    <row r="13" ht="51" customHeight="1">
      <c r="A13" s="10" t="inlineStr">
        <is>
          <t>F009</t>
        </is>
      </c>
      <c r="B13" s="10" t="inlineStr">
        <is>
          <t>Zonas de valor catastral del suelo de Medellín</t>
        </is>
      </c>
      <c r="C13" s="10" t="inlineStr">
        <is>
          <t>Área Metropolitana del Valle de Aburrá · Portal IDEM (catastro del Distrito)</t>
        </is>
      </c>
      <c r="D13" s="10" t="inlineStr">
        <is>
          <t>Entidad pública</t>
        </is>
      </c>
      <c r="E13" s="10" t="inlineStr">
        <is>
          <t>https://portalidem.metropol.gov.co/server/rest/services/MEDELLIN_Uso_y_Valores_Suelo/MapServer/0</t>
        </is>
      </c>
      <c r="F13" s="10" t="inlineStr">
        <is>
          <t>JSON</t>
        </is>
      </c>
      <c r="G13" s="10" t="inlineStr">
        <is>
          <t>API sin llave</t>
        </is>
      </c>
      <c r="H13" s="10" t="inlineStr">
        <is>
          <t>Sin verificar: la fuente no respondió al consultarla (No se pudo descargar https://portalidem.metropol.gov.co/server/rest/services/MEDELLIN_Uso_y_Valores_Suelo/MapServer?f=json: HTTP Error 502: )</t>
        </is>
      </c>
      <c r="I13" s="10" t="inlineStr">
        <is>
          <t>No</t>
        </is>
      </c>
      <c r="J13" s="10" t="inlineStr">
        <is>
          <t>Medellín, por zona de valor catastral</t>
        </is>
      </c>
      <c r="K13" s="10" t="inlineStr">
        <is>
          <t>Base catastral consultada el 2026-09-27</t>
        </is>
      </c>
      <c r="L13" s="10" t="inlineStr">
        <is>
          <t>Anual</t>
        </is>
      </c>
      <c r="M13" s="10" t="inlineStr">
        <is>
          <t>2026-09-27</t>
        </is>
      </c>
      <c r="N13" s="10" t="inlineStr">
        <is>
          <t>Integrada al lago</t>
        </is>
      </c>
      <c r="O13" s="10" t="inlineStr">
        <is>
          <t>Portal IDEM del Área Metropolitana (ArcGIS REST), explorado con ayuda de IA</t>
        </is>
      </c>
      <c r="P13" s="10" t="inlineStr">
        <is>
          <t>Valor del suelo por zonas homogéneas, no por predio. · Entrega 2: Abierto. Licencia leída el 2026-10-24 en https://portalidem.metropol.gov.co/server/rest/services/MEDELLIN_Uso_y_Valores_Suelo/MapServer/0.</t>
        </is>
      </c>
    </row>
    <row r="14" ht="51" customHeight="1">
      <c r="A14" s="10" t="inlineStr">
        <is>
          <t>F010</t>
        </is>
      </c>
      <c r="B14" s="10" t="inlineStr">
        <is>
          <t>Licencias urbanísticas expedidas por las curadurías (archivo digitalizado)</t>
        </is>
      </c>
      <c r="C14" s="10" t="inlineStr">
        <is>
          <t>Departamento Administrativo de Planeación · Alcaldía de Medellín</t>
        </is>
      </c>
      <c r="D14" s="10" t="inlineStr">
        <is>
          <t>Entidad pública</t>
        </is>
      </c>
      <c r="E14" s="10" t="inlineStr">
        <is>
          <t>https://www.medellin.gov.co/servidormapas/rest/services/vivienda_ciudad_terri/VM_Licencias/MapServer/2</t>
        </is>
      </c>
      <c r="F14" s="10" t="inlineStr">
        <is>
          <t>JSON</t>
        </is>
      </c>
      <c r="G14" s="10" t="inlineStr">
        <is>
          <t>API sin llave</t>
        </is>
      </c>
      <c r="H14" s="10" t="inlineStr">
        <is>
          <t>no declara</t>
        </is>
      </c>
      <c r="I14" s="10" t="inlineStr">
        <is>
          <t>No</t>
        </is>
      </c>
      <c r="J14" s="10" t="inlineStr">
        <is>
          <t>Medellín, por comuna</t>
        </is>
      </c>
      <c r="K14" s="10" t="inlineStr">
        <is>
          <t>2003 – 2020</t>
        </is>
      </c>
      <c r="L14" s="10" t="inlineStr">
        <is>
          <t>Única vez</t>
        </is>
      </c>
      <c r="M14" s="10" t="inlineStr">
        <is>
          <t>2026-10-24</t>
        </is>
      </c>
      <c r="N14" s="10" t="inlineStr">
        <is>
          <t>Integrada al lago</t>
        </is>
      </c>
      <c r="O14" s="10" t="inlineStr">
        <is>
          <t>Servidor de mapas de la Alcaldía (ArcGIS REST), explorado por carpetas con ayuda de IA</t>
        </is>
      </c>
      <c r="P14" s="10" t="inlineStr">
        <is>
          <t>Archivo digitalizado 2003–2020; los años recientes traen pocos registros. · Entrega 2: Abierto. Licencia leída el 2026-10-24 en https://www.medellin.gov.co/servidormapas/rest/services/vivienda_ciudad_terri/VM_Licencias/MapServer. El servicio ArcGIS tiene el campo copyrightText vacío.</t>
        </is>
      </c>
    </row>
    <row r="15" ht="51" customHeight="1">
      <c r="A15" s="10" t="inlineStr">
        <is>
          <t>F011</t>
        </is>
      </c>
      <c r="B15" s="10" t="inlineStr">
        <is>
          <t>Establecimientos de Industria y Comercio activos por actividad</t>
        </is>
      </c>
      <c r="C15" s="10" t="inlineStr">
        <is>
          <t>Secretaría de Hacienda · Alcaldía de Medellín</t>
        </is>
      </c>
      <c r="D15" s="10" t="inlineStr">
        <is>
          <t>Entidad pública</t>
        </is>
      </c>
      <c r="E15" s="10" t="inlineStr">
        <is>
          <t>https://www.medellin.gov.co/servidormapas/rest/services/ccio_ind_turism/VC_Act_Comercial_Empresarial/MapServer/0</t>
        </is>
      </c>
      <c r="F15" s="10" t="inlineStr">
        <is>
          <t>JSON</t>
        </is>
      </c>
      <c r="G15" s="10" t="inlineStr">
        <is>
          <t>API sin llave</t>
        </is>
      </c>
      <c r="H15" s="10" t="inlineStr">
        <is>
          <t>no declara</t>
        </is>
      </c>
      <c r="I15" s="10" t="inlineStr">
        <is>
          <t>Solo conteos por zona</t>
        </is>
      </c>
      <c r="J15" s="10" t="inlineStr">
        <is>
          <t>Medellín, por comuna y actividad</t>
        </is>
      </c>
      <c r="K15" s="10" t="inlineStr">
        <is>
          <t>Registro activo consultado el 2026-10-24</t>
        </is>
      </c>
      <c r="L15" s="10" t="inlineStr">
        <is>
          <t>No se sabe</t>
        </is>
      </c>
      <c r="M15" s="10" t="inlineStr">
        <is>
          <t>2026-10-24</t>
        </is>
      </c>
      <c r="N15" s="10" t="inlineStr">
        <is>
          <t>Integrada al lago</t>
        </is>
      </c>
      <c r="O15" s="10" t="inlineStr">
        <is>
          <t>Servidor de mapas de la Alcaldía (ArcGIS REST), explorado por carpetas con ayuda de IA</t>
        </is>
      </c>
      <c r="P15" s="10" t="inlineStr">
        <is>
          <t>Registro de contribuyentes; se usa solo el conteo por zona (inferido: algunos serían personas naturales). · Entrega 2: Abierto. Licencia leída el 2026-10-24 en https://www.medellin.gov.co/servidormapas/rest/services/ccio_ind_turism/VC_Act_Comercial_Empresarial/MapServer. El servicio solo trae un crédito (copyrightText): «Secretaria de Hacienda».</t>
        </is>
      </c>
    </row>
    <row r="16" ht="51" customHeight="1">
      <c r="A16" s="10" t="inlineStr">
        <is>
          <t>F012</t>
        </is>
      </c>
      <c r="B16" s="10" t="inlineStr">
        <is>
          <t>Estructura empresarial de Medellín según comunas y actividad económica</t>
        </is>
      </c>
      <c r="C16" s="10" t="inlineStr">
        <is>
          <t>Cámara de Comercio de Medellín para Antioquia</t>
        </is>
      </c>
      <c r="D16" s="10" t="inlineStr">
        <is>
          <t>Academia u ONG</t>
        </is>
      </c>
      <c r="E16" s="10" t="inlineStr">
        <is>
          <t>https://www.datos.gov.co/d/pb3w-3vmc</t>
        </is>
      </c>
      <c r="F16" s="10" t="inlineStr">
        <is>
          <t>JSON</t>
        </is>
      </c>
      <c r="G16" s="10" t="inlineStr">
        <is>
          <t>API sin llave</t>
        </is>
      </c>
      <c r="H16" s="10" t="inlineStr">
        <is>
          <t>Creative Commons Attribution | Share Alike 4.0 International</t>
        </is>
      </c>
      <c r="I16" s="10" t="inlineStr">
        <is>
          <t>Solo conteos por zona</t>
        </is>
      </c>
      <c r="J16" s="10" t="inlineStr">
        <is>
          <t>Medellín, por comuna y actividad económica</t>
        </is>
      </c>
      <c r="K16" s="10" t="inlineStr">
        <is>
          <t>2018 – 2022</t>
        </is>
      </c>
      <c r="L16" s="10" t="inlineStr">
        <is>
          <t>Anual</t>
        </is>
      </c>
      <c r="M16" s="10" t="inlineStr">
        <is>
          <t>2026-10-24</t>
        </is>
      </c>
      <c r="N16" s="10" t="inlineStr">
        <is>
          <t>Integrada al lago</t>
        </is>
      </c>
      <c r="O16" s="10" t="inlineStr">
        <is>
          <t>Portal nacional datos.gov.co, buscado por entidad y tema con ayuda de IA</t>
        </is>
      </c>
      <c r="P16" s="10" t="inlineStr">
        <is>
          <t>Datos de la Cámara de Comercio; última actualización del dataset en 2023. · Entrega 2: Abierto. Licencia leída el 2026-10-24 en http://creativecommons.org/licenses/by-sa/4.0/legalcode.</t>
        </is>
      </c>
    </row>
    <row r="17" ht="51" customHeight="1">
      <c r="A17" s="10" t="inlineStr">
        <is>
          <t>F013</t>
        </is>
      </c>
      <c r="B17" s="10" t="inlineStr">
        <is>
          <t>Homicidios · Policía Nacional</t>
        </is>
      </c>
      <c r="C17" s="10" t="inlineStr">
        <is>
          <t>Ministerio de Defensa Nacional · Policía Nacional</t>
        </is>
      </c>
      <c r="D17" s="10" t="inlineStr">
        <is>
          <t>Entidad pública</t>
        </is>
      </c>
      <c r="E17" s="10" t="inlineStr">
        <is>
          <t>https://www.datos.gov.co/d/m8fd-ahd9</t>
        </is>
      </c>
      <c r="F17" s="10" t="inlineStr">
        <is>
          <t>JSON</t>
        </is>
      </c>
      <c r="G17" s="10" t="inlineStr">
        <is>
          <t>API sin llave</t>
        </is>
      </c>
      <c r="H17" s="10" t="inlineStr">
        <is>
          <t>Creative Commons Attribution | Share Alike 4.0 International</t>
        </is>
      </c>
      <c r="I17" s="10" t="inlineStr">
        <is>
          <t>Solo conteos por zona</t>
        </is>
      </c>
      <c r="J17" s="10" t="inlineStr">
        <is>
          <t>Nacional, por municipio (se filtra Medellín)</t>
        </is>
      </c>
      <c r="K17" s="10" t="inlineStr">
        <is>
          <t>2024-01 – 2026-09</t>
        </is>
      </c>
      <c r="L17" s="10" t="inlineStr">
        <is>
          <t>Mensual</t>
        </is>
      </c>
      <c r="M17" s="10" t="inlineStr">
        <is>
          <t>2026-10-24</t>
        </is>
      </c>
      <c r="N17" s="10" t="inlineStr">
        <is>
          <t>Integrada al lago</t>
        </is>
      </c>
      <c r="O17" s="10" t="inlineStr">
        <is>
          <t>Portal nacional datos.gov.co, buscado por entidad y tema con ayuda de IA</t>
        </is>
      </c>
      <c r="P17" s="10" t="inlineStr">
        <is>
          <t>Cada fila es un evento con fecha, municipio, arma y cantidad; sin datos de víctimas. · Entrega 2: Abierto, solo agregados: solo se piden sumas por año; el sexo no se guarda ni se muestra. Licencia leída el 2026-10-24 en http://creativecommons.org/licenses/by-sa/4.0/legalcode.</t>
        </is>
      </c>
    </row>
    <row r="18" ht="51" customHeight="1">
      <c r="A18" s="10" t="inlineStr">
        <is>
          <t>F014</t>
        </is>
      </c>
      <c r="B18" s="10" t="inlineStr">
        <is>
          <t>Hurto a personas · Policía Nacional</t>
        </is>
      </c>
      <c r="C18" s="10" t="inlineStr">
        <is>
          <t>Ministerio de Defensa Nacional · Policía Nacional</t>
        </is>
      </c>
      <c r="D18" s="10" t="inlineStr">
        <is>
          <t>Entidad pública</t>
        </is>
      </c>
      <c r="E18" s="10" t="inlineStr">
        <is>
          <t>https://www.datos.gov.co/d/4rxi-8m8d</t>
        </is>
      </c>
      <c r="F18" s="10" t="inlineStr">
        <is>
          <t>JSON</t>
        </is>
      </c>
      <c r="G18" s="10" t="inlineStr">
        <is>
          <t>API sin llave</t>
        </is>
      </c>
      <c r="H18" s="10" t="inlineStr">
        <is>
          <t>Creative Commons Attribution | Share Alike 4.0 International</t>
        </is>
      </c>
      <c r="I18" s="10" t="inlineStr">
        <is>
          <t>Solo conteos por zona</t>
        </is>
      </c>
      <c r="J18" s="10" t="inlineStr">
        <is>
          <t>Nacional, por municipio (se filtra Medellín)</t>
        </is>
      </c>
      <c r="K18" s="10" t="inlineStr">
        <is>
          <t>2024-01 – 2026-09</t>
        </is>
      </c>
      <c r="L18" s="10" t="inlineStr">
        <is>
          <t>Mensual</t>
        </is>
      </c>
      <c r="M18" s="10" t="inlineStr">
        <is>
          <t>2026-10-24</t>
        </is>
      </c>
      <c r="N18" s="10" t="inlineStr">
        <is>
          <t>Integrada al lago</t>
        </is>
      </c>
      <c r="O18" s="10" t="inlineStr">
        <is>
          <t>Portal nacional datos.gov.co, buscado por entidad y tema con ayuda de IA</t>
        </is>
      </c>
      <c r="P18" s="10" t="inlineStr">
        <is>
          <t>Cada fila es un evento con fecha, municipio, arma y cantidad; sin datos de víctimas. · Entrega 2: Abierto. Licencia leída el 2026-10-24 en http://creativecommons.org/licenses/by-sa/4.0/legalcode.</t>
        </is>
      </c>
    </row>
    <row r="19" ht="51" customHeight="1">
      <c r="A19" s="10" t="inlineStr">
        <is>
          <t>F015</t>
        </is>
      </c>
      <c r="B19" s="10" t="inlineStr">
        <is>
          <t>Hurto de vehículos · Policía Nacional</t>
        </is>
      </c>
      <c r="C19" s="10" t="inlineStr">
        <is>
          <t>Ministerio de Defensa Nacional · Policía Nacional</t>
        </is>
      </c>
      <c r="D19" s="10" t="inlineStr">
        <is>
          <t>Entidad pública</t>
        </is>
      </c>
      <c r="E19" s="10" t="inlineStr">
        <is>
          <t>https://www.datos.gov.co/d/csb4-y6v2</t>
        </is>
      </c>
      <c r="F19" s="10" t="inlineStr">
        <is>
          <t>JSON</t>
        </is>
      </c>
      <c r="G19" s="10" t="inlineStr">
        <is>
          <t>API sin llave</t>
        </is>
      </c>
      <c r="H19" s="10" t="inlineStr">
        <is>
          <t>Creative Commons Attribution | Share Alike 4.0 International</t>
        </is>
      </c>
      <c r="I19" s="10" t="inlineStr">
        <is>
          <t>Solo conteos por zona</t>
        </is>
      </c>
      <c r="J19" s="10" t="inlineStr">
        <is>
          <t>Nacional, por municipio (se filtra Medellín)</t>
        </is>
      </c>
      <c r="K19" s="10" t="inlineStr">
        <is>
          <t>2024-01 – 2026-09</t>
        </is>
      </c>
      <c r="L19" s="10" t="inlineStr">
        <is>
          <t>Mensual</t>
        </is>
      </c>
      <c r="M19" s="10" t="inlineStr">
        <is>
          <t>2026-10-24</t>
        </is>
      </c>
      <c r="N19" s="10" t="inlineStr">
        <is>
          <t>Integrada al lago</t>
        </is>
      </c>
      <c r="O19" s="10" t="inlineStr">
        <is>
          <t>Portal nacional datos.gov.co, buscado por entidad y tema con ayuda de IA</t>
        </is>
      </c>
      <c r="P19" s="10" t="inlineStr">
        <is>
          <t>Cada fila es un evento con fecha, municipio y cantidad. · Entrega 2: Abierto. Licencia leída el 2026-10-24 en http://creativecommons.org/licenses/by-sa/4.0/legalcode.</t>
        </is>
      </c>
    </row>
    <row r="20" ht="51" customHeight="1">
      <c r="A20" s="10" t="inlineStr">
        <is>
          <t>F016</t>
        </is>
      </c>
      <c r="B20" s="10" t="inlineStr">
        <is>
          <t>Extorsión · Policía Nacional</t>
        </is>
      </c>
      <c r="C20" s="10" t="inlineStr">
        <is>
          <t>Ministerio de Defensa Nacional · Policía Nacional</t>
        </is>
      </c>
      <c r="D20" s="10" t="inlineStr">
        <is>
          <t>Entidad pública</t>
        </is>
      </c>
      <c r="E20" s="10" t="inlineStr">
        <is>
          <t>https://www.datos.gov.co/d/q2ib-t9am</t>
        </is>
      </c>
      <c r="F20" s="10" t="inlineStr">
        <is>
          <t>JSON</t>
        </is>
      </c>
      <c r="G20" s="10" t="inlineStr">
        <is>
          <t>API sin llave</t>
        </is>
      </c>
      <c r="H20" s="10" t="inlineStr">
        <is>
          <t>Creative Commons Attribution | Share Alike 4.0 International</t>
        </is>
      </c>
      <c r="I20" s="10" t="inlineStr">
        <is>
          <t>Solo conteos por zona</t>
        </is>
      </c>
      <c r="J20" s="10" t="inlineStr">
        <is>
          <t>Nacional, por municipio (se filtra Medellín)</t>
        </is>
      </c>
      <c r="K20" s="10" t="inlineStr">
        <is>
          <t>2024-01 – 2026-09</t>
        </is>
      </c>
      <c r="L20" s="10" t="inlineStr">
        <is>
          <t>Mensual</t>
        </is>
      </c>
      <c r="M20" s="10" t="inlineStr">
        <is>
          <t>2026-10-24</t>
        </is>
      </c>
      <c r="N20" s="10" t="inlineStr">
        <is>
          <t>Integrada al lago</t>
        </is>
      </c>
      <c r="O20" s="10" t="inlineStr">
        <is>
          <t>Portal nacional datos.gov.co, buscado por entidad y tema con ayuda de IA</t>
        </is>
      </c>
      <c r="P20" s="10" t="inlineStr">
        <is>
          <t>Cada fila es un evento con fecha, municipio y cantidad. · Entrega 2: Abierto. Licencia leída el 2026-10-24 en http://creativecommons.org/licenses/by-sa/4.0/legalcode.</t>
        </is>
      </c>
    </row>
    <row r="21" ht="51" customHeight="1">
      <c r="A21" s="10" t="inlineStr">
        <is>
          <t>F017</t>
        </is>
      </c>
      <c r="B21" s="10" t="inlineStr">
        <is>
          <t>Violencia intrafamiliar · Policía Nacional</t>
        </is>
      </c>
      <c r="C21" s="10" t="inlineStr">
        <is>
          <t>Ministerio de Defensa Nacional · Policía Nacional</t>
        </is>
      </c>
      <c r="D21" s="10" t="inlineStr">
        <is>
          <t>Entidad pública</t>
        </is>
      </c>
      <c r="E21" s="10" t="inlineStr">
        <is>
          <t>https://www.datos.gov.co/d/gepp-dxcs</t>
        </is>
      </c>
      <c r="F21" s="10" t="inlineStr">
        <is>
          <t>JSON</t>
        </is>
      </c>
      <c r="G21" s="10" t="inlineStr">
        <is>
          <t>API sin llave</t>
        </is>
      </c>
      <c r="H21" s="10" t="inlineStr">
        <is>
          <t>Creative Commons Attribution | Share Alike 4.0 International</t>
        </is>
      </c>
      <c r="I21" s="10" t="inlineStr">
        <is>
          <t>Solo conteos por zona</t>
        </is>
      </c>
      <c r="J21" s="10" t="inlineStr">
        <is>
          <t>Nacional, por municipio (se filtra Medellín)</t>
        </is>
      </c>
      <c r="K21" s="10" t="inlineStr">
        <is>
          <t>2024-01 – 2026-09</t>
        </is>
      </c>
      <c r="L21" s="10" t="inlineStr">
        <is>
          <t>Mensual</t>
        </is>
      </c>
      <c r="M21" s="10" t="inlineStr">
        <is>
          <t>2026-10-24</t>
        </is>
      </c>
      <c r="N21" s="10" t="inlineStr">
        <is>
          <t>Integrada al lago</t>
        </is>
      </c>
      <c r="O21" s="10" t="inlineStr">
        <is>
          <t>Portal nacional datos.gov.co, buscado por entidad y tema con ayuda de IA</t>
        </is>
      </c>
      <c r="P21" s="10" t="inlineStr">
        <is>
          <t>Cada fila es un evento con fecha, municipio y cantidad; sin datos de víctimas. · Entrega 2: Abierto. Licencia leída el 2026-10-24 en http://creativecommons.org/licenses/by-sa/4.0/legalcode.</t>
        </is>
      </c>
    </row>
    <row r="22" ht="51" customHeight="1">
      <c r="A22" s="10" t="inlineStr">
        <is>
          <t>F018</t>
        </is>
      </c>
      <c r="B22" s="10" t="inlineStr">
        <is>
          <t>Delitos sexuales · Policía Nacional</t>
        </is>
      </c>
      <c r="C22" s="10" t="inlineStr">
        <is>
          <t>Ministerio de Defensa Nacional · Policía Nacional</t>
        </is>
      </c>
      <c r="D22" s="10" t="inlineStr">
        <is>
          <t>Entidad pública</t>
        </is>
      </c>
      <c r="E22" s="10" t="inlineStr">
        <is>
          <t>https://www.datos.gov.co/d/bz43-8ahq</t>
        </is>
      </c>
      <c r="F22" s="10" t="inlineStr">
        <is>
          <t>JSON</t>
        </is>
      </c>
      <c r="G22" s="10" t="inlineStr">
        <is>
          <t>API sin llave</t>
        </is>
      </c>
      <c r="H22" s="10" t="inlineStr">
        <is>
          <t>Creative Commons Attribution | Share Alike 4.0 International</t>
        </is>
      </c>
      <c r="I22" s="10" t="inlineStr">
        <is>
          <t>Solo conteos por zona</t>
        </is>
      </c>
      <c r="J22" s="10" t="inlineStr">
        <is>
          <t>Nacional, por municipio (se filtra Medellín)</t>
        </is>
      </c>
      <c r="K22" s="10" t="inlineStr">
        <is>
          <t>2024-01 – 2026-09</t>
        </is>
      </c>
      <c r="L22" s="10" t="inlineStr">
        <is>
          <t>Mensual</t>
        </is>
      </c>
      <c r="M22" s="10" t="inlineStr">
        <is>
          <t>2026-10-24</t>
        </is>
      </c>
      <c r="N22" s="10" t="inlineStr">
        <is>
          <t>Integrada al lago</t>
        </is>
      </c>
      <c r="O22" s="10" t="inlineStr">
        <is>
          <t>Portal nacional datos.gov.co, buscado por entidad y tema con ayuda de IA</t>
        </is>
      </c>
      <c r="P22" s="10" t="inlineStr">
        <is>
          <t>Cada fila es un evento con fecha, municipio y cantidad; sin datos de víctimas. · Entrega 2: Abierto, solo agregados: solo se piden sumas por año; el sexo no se guarda ni se muestra. Licencia leída el 2026-10-24 en http://creativecommons.org/licenses/by-sa/4.0/legalcode.</t>
        </is>
      </c>
    </row>
    <row r="23" ht="51" customHeight="1">
      <c r="A23" s="10" t="inlineStr">
        <is>
          <t>F019</t>
        </is>
      </c>
      <c r="B23" s="10" t="inlineStr">
        <is>
          <t>Lesiones personales · Policía Nacional</t>
        </is>
      </c>
      <c r="C23" s="10" t="inlineStr">
        <is>
          <t>Ministerio de Defensa Nacional · Policía Nacional</t>
        </is>
      </c>
      <c r="D23" s="10" t="inlineStr">
        <is>
          <t>Entidad pública</t>
        </is>
      </c>
      <c r="E23" s="10" t="inlineStr">
        <is>
          <t>https://www.datos.gov.co/d/jr6v-i33g</t>
        </is>
      </c>
      <c r="F23" s="10" t="inlineStr">
        <is>
          <t>JSON</t>
        </is>
      </c>
      <c r="G23" s="10" t="inlineStr">
        <is>
          <t>API sin llave</t>
        </is>
      </c>
      <c r="H23" s="10" t="inlineStr">
        <is>
          <t>Creative Commons Attribution | Share Alike 4.0 International</t>
        </is>
      </c>
      <c r="I23" s="10" t="inlineStr">
        <is>
          <t>Solo conteos por zona</t>
        </is>
      </c>
      <c r="J23" s="10" t="inlineStr">
        <is>
          <t>Nacional, por municipio (se filtra Medellín)</t>
        </is>
      </c>
      <c r="K23" s="10" t="inlineStr">
        <is>
          <t>2024-01 – 2026-09</t>
        </is>
      </c>
      <c r="L23" s="10" t="inlineStr">
        <is>
          <t>Mensual</t>
        </is>
      </c>
      <c r="M23" s="10" t="inlineStr">
        <is>
          <t>2026-10-24</t>
        </is>
      </c>
      <c r="N23" s="10" t="inlineStr">
        <is>
          <t>Integrada al lago</t>
        </is>
      </c>
      <c r="O23" s="10" t="inlineStr">
        <is>
          <t>Portal nacional datos.gov.co, buscado por entidad y tema con ayuda de IA</t>
        </is>
      </c>
      <c r="P23" s="10" t="inlineStr">
        <is>
          <t>Cada fila es un evento con fecha, municipio y cantidad. · Entrega 2: Abierto, solo agregados: solo se piden sumas por año; el sexo no se guarda ni se muestra. Licencia leída el 2026-10-24 en http://creativecommons.org/licenses/by-sa/4.0/legalcode.</t>
        </is>
      </c>
    </row>
    <row r="24" ht="63.75" customHeight="1">
      <c r="A24" s="10" t="inlineStr">
        <is>
          <t>F020</t>
        </is>
      </c>
      <c r="B24" s="10" t="inlineStr">
        <is>
          <t>Homicidio (SISC, georreferenciado)</t>
        </is>
      </c>
      <c r="C24" s="10" t="inlineStr">
        <is>
          <t>Secretaría de Seguridad y Convivencia · Alcaldía de Medellín (SISC / MEData)</t>
        </is>
      </c>
      <c r="D24" s="10" t="inlineStr">
        <is>
          <t>Entidad pública</t>
        </is>
      </c>
      <c r="E24" s="10" t="inlineStr">
        <is>
          <t>http://medata.gov.co/sites/default/files/distribution/1-027-23-000008/homicidio.csv</t>
        </is>
      </c>
      <c r="F24" s="10" t="inlineStr">
        <is>
          <t>CSV</t>
        </is>
      </c>
      <c r="G24" s="10" t="inlineStr">
        <is>
          <t>Descarga directa</t>
        </is>
      </c>
      <c r="H24" s="10" t="inlineStr">
        <is>
          <t>Atribución 4.0 Internacional (CC BY 4.0)</t>
        </is>
      </c>
      <c r="I24" s="10" t="inlineStr">
        <is>
          <t>Personas identificables</t>
        </is>
      </c>
      <c r="J24" s="10" t="inlineStr">
        <is>
          <t>Medellín, eventos georreferenciados (barrio y comuna)</t>
        </is>
      </c>
      <c r="K24" s="10" t="inlineStr">
        <is>
          <t>2003 – 2023</t>
        </is>
      </c>
      <c r="L24" s="10" t="inlineStr">
        <is>
          <t>Única vez</t>
        </is>
      </c>
      <c r="M24" s="10" t="inlineStr">
        <is>
          <t>2026-10-24</t>
        </is>
      </c>
      <c r="N24" s="10" t="inlineStr">
        <is>
          <t>Integrada al lago</t>
        </is>
      </c>
      <c r="O24" s="10" t="inlineStr">
        <is>
          <t>Portal MEData de la Alcaldía de Medellín, buscado por tema con ayuda de IA</t>
        </is>
      </c>
      <c r="P24"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https://medata.app.medellin.gov.co/dataset/1-027-23-000008.</t>
        </is>
      </c>
    </row>
    <row r="25" ht="63.75" customHeight="1">
      <c r="A25" s="10" t="inlineStr">
        <is>
          <t>F021</t>
        </is>
      </c>
      <c r="B25" s="10" t="inlineStr">
        <is>
          <t>Hurto a persona (SISC, georreferenciado)</t>
        </is>
      </c>
      <c r="C25" s="10" t="inlineStr">
        <is>
          <t>Secretaría de Seguridad y Convivencia · Alcaldía de Medellín (SISC / MEData)</t>
        </is>
      </c>
      <c r="D25" s="10" t="inlineStr">
        <is>
          <t>Entidad pública</t>
        </is>
      </c>
      <c r="E25" s="10" t="inlineStr">
        <is>
          <t>http://medata.gov.co/sites/default/files/distribution/1-027-23-000011/hurto_a_persona.csv</t>
        </is>
      </c>
      <c r="F25" s="10" t="inlineStr">
        <is>
          <t>CSV</t>
        </is>
      </c>
      <c r="G25" s="10" t="inlineStr">
        <is>
          <t>Descarga directa</t>
        </is>
      </c>
      <c r="H25" s="10" t="inlineStr">
        <is>
          <t>Atribución 4.0 Internacional (CC BY 4.0)</t>
        </is>
      </c>
      <c r="I25" s="10" t="inlineStr">
        <is>
          <t>Personas identificables</t>
        </is>
      </c>
      <c r="J25" s="10" t="inlineStr">
        <is>
          <t>Medellín, eventos georreferenciados (barrio y comuna)</t>
        </is>
      </c>
      <c r="K25" s="10" t="inlineStr">
        <is>
          <t>2003 – 2023</t>
        </is>
      </c>
      <c r="L25" s="10" t="inlineStr">
        <is>
          <t>Única vez</t>
        </is>
      </c>
      <c r="M25" s="10" t="inlineStr">
        <is>
          <t>2026-10-24</t>
        </is>
      </c>
      <c r="N25" s="10" t="inlineStr">
        <is>
          <t>Integrada al lago</t>
        </is>
      </c>
      <c r="O25" s="10" t="inlineStr">
        <is>
          <t>Portal MEData de la Alcaldía de Medellín, buscado por tema con ayuda de IA</t>
        </is>
      </c>
      <c r="P25"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https://medata.app.medellin.gov.co/dataset/1-027-23-000011.</t>
        </is>
      </c>
    </row>
    <row r="26" ht="63.75" customHeight="1">
      <c r="A26" s="10" t="inlineStr">
        <is>
          <t>F022</t>
        </is>
      </c>
      <c r="B26" s="10" t="inlineStr">
        <is>
          <t>Hurto de carro (SISC, georreferenciado)</t>
        </is>
      </c>
      <c r="C26" s="10" t="inlineStr">
        <is>
          <t>Secretaría de Seguridad y Convivencia · Alcaldía de Medellín (SISC / MEData)</t>
        </is>
      </c>
      <c r="D26" s="10" t="inlineStr">
        <is>
          <t>Entidad pública</t>
        </is>
      </c>
      <c r="E26" s="10" t="inlineStr">
        <is>
          <t>http://medata.gov.co/sites/default/files/distribution/1-027-23-000013/hurto_de_carro.csv</t>
        </is>
      </c>
      <c r="F26" s="10" t="inlineStr">
        <is>
          <t>CSV</t>
        </is>
      </c>
      <c r="G26" s="10" t="inlineStr">
        <is>
          <t>Descarga directa</t>
        </is>
      </c>
      <c r="H26" s="10" t="inlineStr">
        <is>
          <t>Atribución 4.0 Internacional (CC BY 4.0)</t>
        </is>
      </c>
      <c r="I26" s="10" t="inlineStr">
        <is>
          <t>Personas identificables</t>
        </is>
      </c>
      <c r="J26" s="10" t="inlineStr">
        <is>
          <t>Medellín, eventos georreferenciados (barrio y comuna)</t>
        </is>
      </c>
      <c r="K26" s="10" t="inlineStr">
        <is>
          <t>2003 – 2023</t>
        </is>
      </c>
      <c r="L26" s="10" t="inlineStr">
        <is>
          <t>Única vez</t>
        </is>
      </c>
      <c r="M26" s="10" t="inlineStr">
        <is>
          <t>2026-10-24</t>
        </is>
      </c>
      <c r="N26" s="10" t="inlineStr">
        <is>
          <t>Integrada al lago</t>
        </is>
      </c>
      <c r="O26" s="10" t="inlineStr">
        <is>
          <t>Portal MEData de la Alcaldía de Medellín, buscado por tema con ayuda de IA</t>
        </is>
      </c>
      <c r="P26"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https://medata.app.medellin.gov.co/dataset/1-027-23-000013.</t>
        </is>
      </c>
    </row>
    <row r="27" ht="63.75" customHeight="1">
      <c r="A27" s="10" t="inlineStr">
        <is>
          <t>F023</t>
        </is>
      </c>
      <c r="B27" s="10" t="inlineStr">
        <is>
          <t>Hurto de moto (SISC, georreferenciado)</t>
        </is>
      </c>
      <c r="C27" s="10" t="inlineStr">
        <is>
          <t>Secretaría de Seguridad y Convivencia · Alcaldía de Medellín (SISC / MEData)</t>
        </is>
      </c>
      <c r="D27" s="10" t="inlineStr">
        <is>
          <t>Entidad pública</t>
        </is>
      </c>
      <c r="E27" s="10" t="inlineStr">
        <is>
          <t>http://medata.gov.co/sites/default/files/distribution/1-027-23-000014/hurto_de_moto.csv</t>
        </is>
      </c>
      <c r="F27" s="10" t="inlineStr">
        <is>
          <t>CSV</t>
        </is>
      </c>
      <c r="G27" s="10" t="inlineStr">
        <is>
          <t>Descarga directa</t>
        </is>
      </c>
      <c r="H27" s="10" t="inlineStr">
        <is>
          <t>Atribución 4.0 Internacional (CC BY 4.0)</t>
        </is>
      </c>
      <c r="I27" s="10" t="inlineStr">
        <is>
          <t>Personas identificables</t>
        </is>
      </c>
      <c r="J27" s="10" t="inlineStr">
        <is>
          <t>Medellín, eventos georreferenciados (barrio y comuna)</t>
        </is>
      </c>
      <c r="K27" s="10" t="inlineStr">
        <is>
          <t>2003 – 2023</t>
        </is>
      </c>
      <c r="L27" s="10" t="inlineStr">
        <is>
          <t>Única vez</t>
        </is>
      </c>
      <c r="M27" s="10" t="inlineStr">
        <is>
          <t>2026-10-24</t>
        </is>
      </c>
      <c r="N27" s="10" t="inlineStr">
        <is>
          <t>Integrada al lago</t>
        </is>
      </c>
      <c r="O27" s="10" t="inlineStr">
        <is>
          <t>Portal MEData de la Alcaldía de Medellín, buscado por tema con ayuda de IA</t>
        </is>
      </c>
      <c r="P27"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https://medata.app.medellin.gov.co/dataset/1-027-23-000014.</t>
        </is>
      </c>
    </row>
    <row r="28" ht="63.75" customHeight="1">
      <c r="A28" s="10" t="inlineStr">
        <is>
          <t>F024</t>
        </is>
      </c>
      <c r="B28" s="10" t="inlineStr">
        <is>
          <t>Hurto a residencia (SISC, georreferenciado)</t>
        </is>
      </c>
      <c r="C28" s="10" t="inlineStr">
        <is>
          <t>Secretaría de Seguridad y Convivencia · Alcaldía de Medellín (SISC / MEData)</t>
        </is>
      </c>
      <c r="D28" s="10" t="inlineStr">
        <is>
          <t>Entidad pública</t>
        </is>
      </c>
      <c r="E28" s="10" t="inlineStr">
        <is>
          <t>http://medata.gov.co/sites/default/files/distribution/1-027-23-000012/hurto_a_residencia.csv</t>
        </is>
      </c>
      <c r="F28" s="10" t="inlineStr">
        <is>
          <t>CSV</t>
        </is>
      </c>
      <c r="G28" s="10" t="inlineStr">
        <is>
          <t>Descarga directa</t>
        </is>
      </c>
      <c r="H28" s="10" t="inlineStr">
        <is>
          <t>Atribución 4.0 Internacional (CC BY 4.0)</t>
        </is>
      </c>
      <c r="I28" s="10" t="inlineStr">
        <is>
          <t>Personas identificables</t>
        </is>
      </c>
      <c r="J28" s="10" t="inlineStr">
        <is>
          <t>Medellín, eventos georreferenciados (barrio y comuna)</t>
        </is>
      </c>
      <c r="K28" s="10" t="inlineStr">
        <is>
          <t>2003 – 2023</t>
        </is>
      </c>
      <c r="L28" s="10" t="inlineStr">
        <is>
          <t>Única vez</t>
        </is>
      </c>
      <c r="M28" s="10" t="inlineStr">
        <is>
          <t>2026-10-24</t>
        </is>
      </c>
      <c r="N28" s="10" t="inlineStr">
        <is>
          <t>Integrada al lago</t>
        </is>
      </c>
      <c r="O28" s="10" t="inlineStr">
        <is>
          <t>Portal MEData de la Alcaldía de Medellín, buscado por tema con ayuda de IA</t>
        </is>
      </c>
      <c r="P28"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https://medata.app.medellin.gov.co/dataset/1-027-23-000012.</t>
        </is>
      </c>
    </row>
    <row r="29" ht="63.75" customHeight="1">
      <c r="A29" s="10" t="inlineStr">
        <is>
          <t>F025</t>
        </is>
      </c>
      <c r="B29" s="10" t="inlineStr">
        <is>
          <t>Hurto a establecimiento comercial (SISC, georreferenciado)</t>
        </is>
      </c>
      <c r="C29" s="10" t="inlineStr">
        <is>
          <t>Secretaría de Seguridad y Convivencia · Alcaldía de Medellín (SISC / MEData)</t>
        </is>
      </c>
      <c r="D29" s="10" t="inlineStr">
        <is>
          <t>Entidad pública</t>
        </is>
      </c>
      <c r="E29" s="10" t="inlineStr">
        <is>
          <t>http://medata.gov.co/sites/default/files/distribution/1-027-23-000010/hurto_a_establecimiento_comercial.csv</t>
        </is>
      </c>
      <c r="F29" s="10" t="inlineStr">
        <is>
          <t>CSV</t>
        </is>
      </c>
      <c r="G29" s="10" t="inlineStr">
        <is>
          <t>Descarga directa</t>
        </is>
      </c>
      <c r="H29" s="10" t="inlineStr">
        <is>
          <t>Atribución 4.0 Internacional (CC BY 4.0)</t>
        </is>
      </c>
      <c r="I29" s="10" t="inlineStr">
        <is>
          <t>Personas identificables</t>
        </is>
      </c>
      <c r="J29" s="10" t="inlineStr">
        <is>
          <t>Medellín, eventos georreferenciados (barrio y comuna)</t>
        </is>
      </c>
      <c r="K29" s="10" t="inlineStr">
        <is>
          <t>2003 – 2023</t>
        </is>
      </c>
      <c r="L29" s="10" t="inlineStr">
        <is>
          <t>Única vez</t>
        </is>
      </c>
      <c r="M29" s="10" t="inlineStr">
        <is>
          <t>2026-10-24</t>
        </is>
      </c>
      <c r="N29" s="10" t="inlineStr">
        <is>
          <t>Integrada al lago</t>
        </is>
      </c>
      <c r="O29" s="10" t="inlineStr">
        <is>
          <t>Portal MEData de la Alcaldía de Medellín, buscado por tema con ayuda de IA</t>
        </is>
      </c>
      <c r="P29"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https://medata.app.medellin.gov.co/dataset/1-027-23-000010.</t>
        </is>
      </c>
    </row>
    <row r="30" ht="63.75" customHeight="1">
      <c r="A30" s="10" t="inlineStr">
        <is>
          <t>F026</t>
        </is>
      </c>
      <c r="B30" s="10" t="inlineStr">
        <is>
          <t>Extorsión (SISC, georreferenciado)</t>
        </is>
      </c>
      <c r="C30" s="10" t="inlineStr">
        <is>
          <t>Secretaría de Seguridad y Convivencia · Alcaldía de Medellín (SISC / MEData)</t>
        </is>
      </c>
      <c r="D30" s="10" t="inlineStr">
        <is>
          <t>Entidad pública</t>
        </is>
      </c>
      <c r="E30" s="10" t="inlineStr">
        <is>
          <t>http://medata.gov.co/sites/default/files/distribution/1-027-23-000007/extorsion.csv</t>
        </is>
      </c>
      <c r="F30" s="10" t="inlineStr">
        <is>
          <t>CSV</t>
        </is>
      </c>
      <c r="G30" s="10" t="inlineStr">
        <is>
          <t>Descarga directa</t>
        </is>
      </c>
      <c r="H30" s="10" t="inlineStr">
        <is>
          <t>Atribución 4.0 Internacional (CC BY 4.0)</t>
        </is>
      </c>
      <c r="I30" s="10" t="inlineStr">
        <is>
          <t>Personas identificables</t>
        </is>
      </c>
      <c r="J30" s="10" t="inlineStr">
        <is>
          <t>Medellín, eventos georreferenciados (barrio y comuna)</t>
        </is>
      </c>
      <c r="K30" s="10" t="inlineStr">
        <is>
          <t>2003 – 2023</t>
        </is>
      </c>
      <c r="L30" s="10" t="inlineStr">
        <is>
          <t>Única vez</t>
        </is>
      </c>
      <c r="M30" s="10" t="inlineStr">
        <is>
          <t>2026-10-24</t>
        </is>
      </c>
      <c r="N30" s="10" t="inlineStr">
        <is>
          <t>Integrada al lago</t>
        </is>
      </c>
      <c r="O30" s="10" t="inlineStr">
        <is>
          <t>Portal MEData de la Alcaldía de Medellín, buscado por tema con ayuda de IA</t>
        </is>
      </c>
      <c r="P30"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https://medata.app.medellin.gov.co/dataset/1-027-23-000007.</t>
        </is>
      </c>
    </row>
    <row r="31" ht="63.75" customHeight="1">
      <c r="A31" s="10" t="inlineStr">
        <is>
          <t>F027</t>
        </is>
      </c>
      <c r="B31" s="10" t="inlineStr">
        <is>
          <t>Lesión no fatal dolosa (SISC, georreferenciado)</t>
        </is>
      </c>
      <c r="C31" s="10" t="inlineStr">
        <is>
          <t>Secretaría de Seguridad y Convivencia · Alcaldía de Medellín (SISC / MEData)</t>
        </is>
      </c>
      <c r="D31" s="10" t="inlineStr">
        <is>
          <t>Entidad pública</t>
        </is>
      </c>
      <c r="E31" s="10" t="inlineStr">
        <is>
          <t>http://medata.gov.co/sites/default/files/distribution/1-027-23-000002/lesion_no_fatal_dolosa_segun_policia.csv</t>
        </is>
      </c>
      <c r="F31" s="10" t="inlineStr">
        <is>
          <t>CSV</t>
        </is>
      </c>
      <c r="G31" s="10" t="inlineStr">
        <is>
          <t>Descarga directa</t>
        </is>
      </c>
      <c r="H31" s="10" t="inlineStr">
        <is>
          <t>Atribución 4.0 Internacional (CC BY 4.0)</t>
        </is>
      </c>
      <c r="I31" s="10" t="inlineStr">
        <is>
          <t>Personas identificables</t>
        </is>
      </c>
      <c r="J31" s="10" t="inlineStr">
        <is>
          <t>Medellín, eventos georreferenciados (barrio y comuna)</t>
        </is>
      </c>
      <c r="K31" s="10" t="inlineStr">
        <is>
          <t>2003 – 2023</t>
        </is>
      </c>
      <c r="L31" s="10" t="inlineStr">
        <is>
          <t>Única vez</t>
        </is>
      </c>
      <c r="M31" s="10" t="inlineStr">
        <is>
          <t>2026-10-24</t>
        </is>
      </c>
      <c r="N31" s="10" t="inlineStr">
        <is>
          <t>Integrada al lago</t>
        </is>
      </c>
      <c r="O31" s="10" t="inlineStr">
        <is>
          <t>Portal MEData de la Alcaldía de Medellín, buscado por tema con ayuda de IA</t>
        </is>
      </c>
      <c r="P31" s="10" t="inlineStr">
        <is>
          <t>Histórico 2003–2023 sin actualizaciones posteriores; cada fila es un evento anónimo con coordenadas y rasgos como sexo o edad de la víctima. · Entrega 2: Abierto, solo agregados: el crudo se descarga a datos/crudos/ (fuera de git y del despliegue) y el lago guarda solo conteos por comuna y por barrio. Licencia leída el 2026-10-24 en https://medata.app.medellin.gov.co/dataset/1-027-23-000002.</t>
        </is>
      </c>
    </row>
    <row r="32" ht="51" customHeight="1">
      <c r="A32" s="10" t="inlineStr">
        <is>
          <t>F028</t>
        </is>
      </c>
      <c r="B32" s="10" t="inlineStr">
        <is>
          <t>Extranjeros no residentes por ciudad de destino</t>
        </is>
      </c>
      <c r="C32" s="10" t="inlineStr">
        <is>
          <t>Ministerio de Comercio, Industria y Turismo</t>
        </is>
      </c>
      <c r="D32" s="10" t="inlineStr">
        <is>
          <t>Entidad pública</t>
        </is>
      </c>
      <c r="E32" s="10" t="inlineStr">
        <is>
          <t>https://www.datos.gov.co/d/7wm8-w5ad</t>
        </is>
      </c>
      <c r="F32" s="10" t="inlineStr">
        <is>
          <t>JSON</t>
        </is>
      </c>
      <c r="G32" s="10" t="inlineStr">
        <is>
          <t>API sin llave</t>
        </is>
      </c>
      <c r="H32" s="10" t="inlineStr">
        <is>
          <t>Creative Commons Attribution | Share Alike 4.0 International</t>
        </is>
      </c>
      <c r="I32" s="10" t="inlineStr">
        <is>
          <t>Solo conteos por zona</t>
        </is>
      </c>
      <c r="J32" s="10" t="inlineStr">
        <is>
          <t>Nacional, por ciudad de destino (se filtra Medellín)</t>
        </is>
      </c>
      <c r="K32" s="10" t="inlineStr">
        <is>
          <t>ene 2015 – jun 2026</t>
        </is>
      </c>
      <c r="L32" s="10" t="inlineStr">
        <is>
          <t>Mensual</t>
        </is>
      </c>
      <c r="M32" s="10" t="inlineStr">
        <is>
          <t>2026-09-27</t>
        </is>
      </c>
      <c r="N32" s="10" t="inlineStr">
        <is>
          <t>Integrada al lago</t>
        </is>
      </c>
      <c r="O32" s="10" t="inlineStr">
        <is>
          <t>Portal nacional datos.gov.co, buscado por entidad y tema con ayuda de IA</t>
        </is>
      </c>
      <c r="P32" s="10" t="inlineStr">
        <is>
          <t>Extranjeros no residentes por ciudad de destino, mes y nacionalidad. · Entrega 2: Abierto. Licencia leída el 2026-10-24 en http://creativecommons.org/licenses/by-sa/4.0/legalcode.</t>
        </is>
      </c>
    </row>
    <row r="33" ht="51" customHeight="1">
      <c r="A33" s="10" t="inlineStr">
        <is>
          <t>F029</t>
        </is>
      </c>
      <c r="B33" s="10" t="inlineStr">
        <is>
          <t>Transporte aéreo comercial · tráfico origen–destino</t>
        </is>
      </c>
      <c r="C33" s="10" t="inlineStr">
        <is>
          <t>Aeronáutica Civil de Colombia</t>
        </is>
      </c>
      <c r="D33" s="10" t="inlineStr">
        <is>
          <t>Entidad pública</t>
        </is>
      </c>
      <c r="E33" s="10" t="inlineStr">
        <is>
          <t>https://www.datos.gov.co/d/gb6w-ynu4</t>
        </is>
      </c>
      <c r="F33" s="10" t="inlineStr">
        <is>
          <t>JSON</t>
        </is>
      </c>
      <c r="G33" s="10" t="inlineStr">
        <is>
          <t>API sin llave</t>
        </is>
      </c>
      <c r="H33" s="10" t="inlineStr">
        <is>
          <t>Creative Commons Attribution | Share Alike 4.0 International</t>
        </is>
      </c>
      <c r="I33" s="10" t="inlineStr">
        <is>
          <t>Solo conteos por zona</t>
        </is>
      </c>
      <c r="J33" s="10" t="inlineStr">
        <is>
          <t>Nacional, por ruta origen–destino (se filtra el aeropuerto JMC)</t>
        </is>
      </c>
      <c r="K33" s="10" t="inlineStr">
        <is>
          <t>ene 2020 – jun 2026</t>
        </is>
      </c>
      <c r="L33" s="10" t="inlineStr">
        <is>
          <t>Trimestral</t>
        </is>
      </c>
      <c r="M33" s="10" t="inlineStr">
        <is>
          <t>2026-09-27</t>
        </is>
      </c>
      <c r="N33" s="10" t="inlineStr">
        <is>
          <t>Integrada al lago</t>
        </is>
      </c>
      <c r="O33" s="10" t="inlineStr">
        <is>
          <t>Portal nacional datos.gov.co, buscado por entidad y tema con ayuda de IA</t>
        </is>
      </c>
      <c r="P33" s="10" t="inlineStr">
        <is>
          <t>Pasajeros por ruta y mes; se usa el aeropuerto José María Córdova. · Entrega 2: Abierto. Licencia leída el 2026-10-24 en http://creativecommons.org/licenses/by-sa/4.0/legalcode.</t>
        </is>
      </c>
    </row>
    <row r="34" ht="51" customHeight="1">
      <c r="A34" s="10" t="inlineStr">
        <is>
          <t>F030</t>
        </is>
      </c>
      <c r="B34" s="10" t="inlineStr">
        <is>
          <t>Porcentaje de ocupación hotelera mensual de Medellín</t>
        </is>
      </c>
      <c r="C34" s="10" t="inlineStr">
        <is>
          <t>Secretaría de Turismo · Alcaldía de Medellín (MEData)</t>
        </is>
      </c>
      <c r="D34" s="10" t="inlineStr">
        <is>
          <t>Entidad pública</t>
        </is>
      </c>
      <c r="E34" s="10" t="inlineStr">
        <is>
          <t>http://medata.gov.co/sites/default/files/distribution/1-010-04-000201/porcentaje_ocupacion_hotelera_mensual_de_medellin.csv</t>
        </is>
      </c>
      <c r="F34" s="10" t="inlineStr">
        <is>
          <t>CSV</t>
        </is>
      </c>
      <c r="G34" s="10" t="inlineStr">
        <is>
          <t>Descarga directa</t>
        </is>
      </c>
      <c r="H34" s="10" t="inlineStr">
        <is>
          <t>Atribución 4.0 Internacional (CC BY 4.0)</t>
        </is>
      </c>
      <c r="I34" s="10" t="inlineStr">
        <is>
          <t>No</t>
        </is>
      </c>
      <c r="J34" s="10" t="inlineStr">
        <is>
          <t>Medellín, por zona hotelera</t>
        </is>
      </c>
      <c r="K34" s="10" t="inlineStr">
        <is>
          <t>ene 2007 – oct 2023</t>
        </is>
      </c>
      <c r="L34" s="10" t="inlineStr">
        <is>
          <t>Única vez</t>
        </is>
      </c>
      <c r="M34" s="10" t="inlineStr">
        <is>
          <t>2026-09-27</t>
        </is>
      </c>
      <c r="N34" s="10" t="inlineStr">
        <is>
          <t>Integrada al lago</t>
        </is>
      </c>
      <c r="O34" s="10" t="inlineStr">
        <is>
          <t>Portal MEData de la Alcaldía de Medellín, buscado por tema con ayuda de IA</t>
        </is>
      </c>
      <c r="P34" s="10" t="inlineStr">
        <is>
          <t>La serie termina en octubre de 2023. · Entrega 2: Abierto. Licencia leída el 2026-10-24 en https://medata.app.medellin.gov.co/dataset/1-010-04-000201.</t>
        </is>
      </c>
    </row>
    <row r="35" ht="51" customHeight="1">
      <c r="A35" s="10" t="inlineStr">
        <is>
          <t>F031</t>
        </is>
      </c>
      <c r="B35" s="10" t="inlineStr">
        <is>
          <t>Visitantes a museos</t>
        </is>
      </c>
      <c r="C35" s="10" t="inlineStr">
        <is>
          <t>Secretaría de Turismo · Alcaldía de Medellín (MEData)</t>
        </is>
      </c>
      <c r="D35" s="10" t="inlineStr">
        <is>
          <t>Entidad pública</t>
        </is>
      </c>
      <c r="E35" s="10" t="inlineStr">
        <is>
          <t>http://medata.gov.co/sites/default/files/distribution/1-010-04-000192/ingreso_mensual_de_visitantes_a_museos.csv</t>
        </is>
      </c>
      <c r="F35" s="10" t="inlineStr">
        <is>
          <t>CSV</t>
        </is>
      </c>
      <c r="G35" s="10" t="inlineStr">
        <is>
          <t>Descarga directa</t>
        </is>
      </c>
      <c r="H35" s="10" t="inlineStr">
        <is>
          <t>Atribución 4.0 Internacional (CC BY 4.0)</t>
        </is>
      </c>
      <c r="I35" s="10" t="inlineStr">
        <is>
          <t>Solo conteos por zona</t>
        </is>
      </c>
      <c r="J35" s="10" t="inlineStr">
        <is>
          <t>Medellín, por museo</t>
        </is>
      </c>
      <c r="K35" s="10" t="inlineStr">
        <is>
          <t>2007 – 2022</t>
        </is>
      </c>
      <c r="L35" s="10" t="inlineStr">
        <is>
          <t>Única vez</t>
        </is>
      </c>
      <c r="M35" s="10" t="inlineStr">
        <is>
          <t>2026-09-27</t>
        </is>
      </c>
      <c r="N35" s="10" t="inlineStr">
        <is>
          <t>Integrada al lago</t>
        </is>
      </c>
      <c r="O35" s="10" t="inlineStr">
        <is>
          <t>Portal MEData de la Alcaldía de Medellín, buscado por tema con ayuda de IA</t>
        </is>
      </c>
      <c r="P35" s="10" t="inlineStr">
        <is>
          <t>La serie termina en 2022. · Entrega 2: Abierto. Licencia leída el 2026-10-24 en https://medata.app.medellin.gov.co/dataset/1-010-04-000192.</t>
        </is>
      </c>
    </row>
    <row r="36" ht="51" customHeight="1">
      <c r="A36" s="10" t="inlineStr">
        <is>
          <t>F032</t>
        </is>
      </c>
      <c r="B36" s="10" t="inlineStr">
        <is>
          <t>Visitantes a sitios de interés</t>
        </is>
      </c>
      <c r="C36" s="10" t="inlineStr">
        <is>
          <t>Secretaría de Turismo · Alcaldía de Medellín (MEData)</t>
        </is>
      </c>
      <c r="D36" s="10" t="inlineStr">
        <is>
          <t>Entidad pública</t>
        </is>
      </c>
      <c r="E36" s="10" t="inlineStr">
        <is>
          <t>http://medata.gov.co/sites/default/files/distribution/1-010-04-000193/ingreso_mensual_de_visitantes_a_sitios_de_interes.csv</t>
        </is>
      </c>
      <c r="F36" s="10" t="inlineStr">
        <is>
          <t>CSV</t>
        </is>
      </c>
      <c r="G36" s="10" t="inlineStr">
        <is>
          <t>Descarga directa</t>
        </is>
      </c>
      <c r="H36" s="10" t="inlineStr">
        <is>
          <t>Atribución 4.0 Internacional (CC BY 4.0)</t>
        </is>
      </c>
      <c r="I36" s="10" t="inlineStr">
        <is>
          <t>Solo conteos por zona</t>
        </is>
      </c>
      <c r="J36" s="10" t="inlineStr">
        <is>
          <t>Medellín, por sitio de interés</t>
        </is>
      </c>
      <c r="K36" s="10" t="inlineStr">
        <is>
          <t>2007 – 2022</t>
        </is>
      </c>
      <c r="L36" s="10" t="inlineStr">
        <is>
          <t>Única vez</t>
        </is>
      </c>
      <c r="M36" s="10" t="inlineStr">
        <is>
          <t>2026-09-27</t>
        </is>
      </c>
      <c r="N36" s="10" t="inlineStr">
        <is>
          <t>Integrada al lago</t>
        </is>
      </c>
      <c r="O36" s="10" t="inlineStr">
        <is>
          <t>Portal MEData de la Alcaldía de Medellín, buscado por tema con ayuda de IA</t>
        </is>
      </c>
      <c r="P36" s="10" t="inlineStr">
        <is>
          <t>La serie termina en 2022. · Entrega 2: Abierto. Licencia leída el 2026-10-24 en https://medata.app.medellin.gov.co/dataset/1-010-04-000193.</t>
        </is>
      </c>
    </row>
    <row r="37" ht="51" customHeight="1">
      <c r="A37" s="10" t="inlineStr">
        <is>
          <t>F033</t>
        </is>
      </c>
      <c r="B37" s="10" t="inlineStr">
        <is>
          <t>Atractivos turísticos y puntos de información turística</t>
        </is>
      </c>
      <c r="C37" s="10" t="inlineStr">
        <is>
          <t>Secretaría de Turismo · Alcaldía de Medellín</t>
        </is>
      </c>
      <c r="D37" s="10" t="inlineStr">
        <is>
          <t>Entidad pública</t>
        </is>
      </c>
      <c r="E37" s="10" t="inlineStr">
        <is>
          <t>https://www.medellin.gov.co/servidormapas/rest/services/ccio_ind_turism/VC_Turismo/MapServer</t>
        </is>
      </c>
      <c r="F37" s="10" t="inlineStr">
        <is>
          <t>JSON</t>
        </is>
      </c>
      <c r="G37" s="10" t="inlineStr">
        <is>
          <t>API sin llave</t>
        </is>
      </c>
      <c r="H37" s="10" t="inlineStr">
        <is>
          <t>no declara</t>
        </is>
      </c>
      <c r="I37" s="10" t="inlineStr">
        <is>
          <t>No</t>
        </is>
      </c>
      <c r="J37" s="10" t="inlineStr">
        <is>
          <t>Medellín, puntos georreferenciados</t>
        </is>
      </c>
      <c r="K37" s="10" t="inlineStr">
        <is>
          <t>Actualizado el 2024-10-17</t>
        </is>
      </c>
      <c r="L37" s="10" t="inlineStr">
        <is>
          <t>No se sabe</t>
        </is>
      </c>
      <c r="M37" s="10" t="inlineStr">
        <is>
          <t>2026-09-27</t>
        </is>
      </c>
      <c r="N37" s="10" t="inlineStr">
        <is>
          <t>Integrada al lago</t>
        </is>
      </c>
      <c r="O37" s="10" t="inlineStr">
        <is>
          <t>Servidor de mapas de la Alcaldía (ArcGIS REST), explorado por carpetas con ayuda de IA</t>
        </is>
      </c>
      <c r="P37" s="10" t="inlineStr">
        <is>
          <t>Última actualización de la capa: 17 de octubre de 2024. · Entrega 2: Abierto. Licencia leída el 2026-10-24 en https://www.medellin.gov.co/servidormapas/rest/services/ccio_ind_turism/VC_Turismo/MapServer. El servicio solo trae un crédito (copyrightText): «Sec. De Desarrollo Económico - Subsecretaría de Creación y Fortalecimiento Empresarial».</t>
        </is>
      </c>
    </row>
    <row r="38" ht="76.5" customHeight="1">
      <c r="A38" s="10" t="inlineStr">
        <is>
          <t>F034</t>
        </is>
      </c>
      <c r="B38" s="10" t="inlineStr">
        <is>
          <t>Hoteles, hostales y otros hospedajes mapeados en OpenStreetMap</t>
        </is>
      </c>
      <c r="C38" s="10" t="inlineStr">
        <is>
          <t>Colaboradores de OpenStreetMap (ODbL)</t>
        </is>
      </c>
      <c r="D38" s="10" t="inlineStr">
        <is>
          <t>Plataforma colaborativa</t>
        </is>
      </c>
      <c r="E38" s="10" t="inlineStr">
        <is>
          <t>https://overpass-turbo.eu/?Q=nwr%5B%22tourism%22~%22%5E%28hotel%7Chostel%7Cguest_house%7Capartment%7Cmotel%29%24%22%5D%286.14%2C-75.72%2C6.4%2C-75.46%29%3Bout%20center%3B</t>
        </is>
      </c>
      <c r="F38" s="10" t="inlineStr">
        <is>
          <t>JSON</t>
        </is>
      </c>
      <c r="G38" s="10" t="inlineStr">
        <is>
          <t>API sin llave</t>
        </is>
      </c>
      <c r="H38" s="10" t="inlineStr">
        <is>
          <t>OpenStreetMap es un sistema de datos abiertos, licenciado bajo la Licencia de Base de Datos Abierta de Open Data Commons (ODbL) por la Fundación OpenStreetMap.</t>
        </is>
      </c>
      <c r="I38" s="10" t="inlineStr">
        <is>
          <t>No</t>
        </is>
      </c>
      <c r="J38" s="10" t="inlineStr">
        <is>
          <t>Caja geográfica del Valle de Aburrá (6.14–6.40 N, 75.72–75.46 O)</t>
        </is>
      </c>
      <c r="K38" s="10" t="inlineStr">
        <is>
          <t>OpenStreetMap al 2026-06-01</t>
        </is>
      </c>
      <c r="L38" s="10" t="inlineStr">
        <is>
          <t>Tiempo real</t>
        </is>
      </c>
      <c r="M38" s="10" t="inlineStr">
        <is>
          <t>2026-09-27</t>
        </is>
      </c>
      <c r="N38" s="10" t="inlineStr">
        <is>
          <t>Integrada al lago</t>
        </is>
      </c>
      <c r="O38" s="10" t="inlineStr">
        <is>
          <t>Conocida de antemano como fuente abierta; consulta Overpass armada con ayuda de IA</t>
        </is>
      </c>
      <c r="P38" s="10" t="inlineStr">
        <is>
          <t>Los mapeadores editan de forma continua; la cobertura depende del voluntariado y es desigual. Exige atribución «© OpenStreetMap contributors». · Entrega 2: Abierto. Licencia leída el 2026-10-24 en https://www.openstreetmap.org/copyright.</t>
        </is>
      </c>
    </row>
    <row r="39" ht="51" customHeight="1">
      <c r="A39" s="10" t="inlineStr">
        <is>
          <t>F035</t>
        </is>
      </c>
      <c r="B39" s="10" t="inlineStr">
        <is>
          <t>CUIPO · programación y ejecución de ingresos del Distrito de Medellín</t>
        </is>
      </c>
      <c r="C39" s="10" t="inlineStr">
        <is>
          <t>Contraloría General de la República</t>
        </is>
      </c>
      <c r="D39" s="10" t="inlineStr">
        <is>
          <t>Entidad pública</t>
        </is>
      </c>
      <c r="E39" s="10" t="inlineStr">
        <is>
          <t>https://www.datos.gov.co/d/9axr-9gnb</t>
        </is>
      </c>
      <c r="F39" s="10" t="inlineStr">
        <is>
          <t>JSON</t>
        </is>
      </c>
      <c r="G39" s="10" t="inlineStr">
        <is>
          <t>API sin llave</t>
        </is>
      </c>
      <c r="H39" s="10" t="inlineStr">
        <is>
          <t>Creative Commons Attribution | Share Alike 4.0 International</t>
        </is>
      </c>
      <c r="I39" s="10" t="inlineStr">
        <is>
          <t>No</t>
        </is>
      </c>
      <c r="J39" s="10" t="inlineStr">
        <is>
          <t>Nacional, por entidad territorial (se filtra el Distrito de Medellín)</t>
        </is>
      </c>
      <c r="K39" s="10" t="inlineStr">
        <is>
          <t>2025 · ene–jun 2026</t>
        </is>
      </c>
      <c r="L39" s="10" t="inlineStr">
        <is>
          <t>Trimestral</t>
        </is>
      </c>
      <c r="M39" s="10" t="inlineStr">
        <is>
          <t>2026-09-27</t>
        </is>
      </c>
      <c r="N39" s="10" t="inlineStr">
        <is>
          <t>Integrada al lago</t>
        </is>
      </c>
      <c r="O39" s="10" t="inlineStr">
        <is>
          <t>Portal nacional datos.gov.co, buscado por entidad y tema con ayuda de IA</t>
        </is>
      </c>
      <c r="P39" s="10" t="inlineStr">
        <is>
          <t>Reporte de la Contraloría; el cierre del año llega con rezago. · Entrega 2: Abierto. Licencia leída el 2026-10-24 en http://creativecommons.org/licenses/by-sa/4.0/legalcode.</t>
        </is>
      </c>
    </row>
    <row r="40" ht="51" customHeight="1">
      <c r="A40" s="10" t="inlineStr">
        <is>
          <t>F036</t>
        </is>
      </c>
      <c r="B40" s="10" t="inlineStr">
        <is>
          <t>CUIPO · programación y ejecución de gastos del Distrito de Medellín</t>
        </is>
      </c>
      <c r="C40" s="10" t="inlineStr">
        <is>
          <t>Contraloría General de la República</t>
        </is>
      </c>
      <c r="D40" s="10" t="inlineStr">
        <is>
          <t>Entidad pública</t>
        </is>
      </c>
      <c r="E40" s="10" t="inlineStr">
        <is>
          <t>https://www.datos.gov.co/d/4f7r-epif</t>
        </is>
      </c>
      <c r="F40" s="10" t="inlineStr">
        <is>
          <t>JSON</t>
        </is>
      </c>
      <c r="G40" s="10" t="inlineStr">
        <is>
          <t>API sin llave</t>
        </is>
      </c>
      <c r="H40" s="10" t="inlineStr">
        <is>
          <t>Creative Commons Attribution | Share Alike 4.0 International</t>
        </is>
      </c>
      <c r="I40" s="10" t="inlineStr">
        <is>
          <t>No</t>
        </is>
      </c>
      <c r="J40" s="10" t="inlineStr">
        <is>
          <t>Nacional, por entidad territorial (se filtra el Distrito de Medellín)</t>
        </is>
      </c>
      <c r="K40" s="10" t="inlineStr">
        <is>
          <t>2025 · 2026 · corte jun 2026 · ene–jun 2026</t>
        </is>
      </c>
      <c r="L40" s="10" t="inlineStr">
        <is>
          <t>Trimestral</t>
        </is>
      </c>
      <c r="M40" s="10" t="inlineStr">
        <is>
          <t>2026-09-27</t>
        </is>
      </c>
      <c r="N40" s="10" t="inlineStr">
        <is>
          <t>Integrada al lago</t>
        </is>
      </c>
      <c r="O40" s="10" t="inlineStr">
        <is>
          <t>Portal nacional datos.gov.co, buscado por entidad y tema con ayuda de IA</t>
        </is>
      </c>
      <c r="P40" s="10" t="inlineStr">
        <is>
          <t>Reporte de la Contraloría; el cierre del año llega con rezago. · Entrega 2: Abierto. Licencia leída el 2026-10-24 en http://creativecommons.org/licenses/by-sa/4.0/legalcode.</t>
        </is>
      </c>
    </row>
    <row r="41" ht="51" customHeight="1">
      <c r="A41" s="10" t="inlineStr">
        <is>
          <t>F037</t>
        </is>
      </c>
      <c r="B41" s="10" t="inlineStr">
        <is>
          <t>Acuerdos sancionados</t>
        </is>
      </c>
      <c r="C41" s="10" t="inlineStr">
        <is>
          <t>Concejo de Medellín</t>
        </is>
      </c>
      <c r="D41" s="10" t="inlineStr">
        <is>
          <t>Entidad pública</t>
        </is>
      </c>
      <c r="E41" s="10" t="inlineStr">
        <is>
          <t>https://www.datos.gov.co/d/9smt-mgt4</t>
        </is>
      </c>
      <c r="F41" s="10" t="inlineStr">
        <is>
          <t>JSON</t>
        </is>
      </c>
      <c r="G41" s="10" t="inlineStr">
        <is>
          <t>API sin llave</t>
        </is>
      </c>
      <c r="H41" s="10" t="inlineStr">
        <is>
          <t>Creative Commons Attribution | Share Alike 4.0 International</t>
        </is>
      </c>
      <c r="I41" s="10" t="inlineStr">
        <is>
          <t>No</t>
        </is>
      </c>
      <c r="J41" s="10" t="inlineStr">
        <is>
          <t>Medellín, Concejo Distrital</t>
        </is>
      </c>
      <c r="K41" s="10" t="inlineStr">
        <is>
          <t>2008 – 2025</t>
        </is>
      </c>
      <c r="L41" s="10" t="inlineStr">
        <is>
          <t>Mensual</t>
        </is>
      </c>
      <c r="M41" s="10" t="inlineStr">
        <is>
          <t>2026-09-27</t>
        </is>
      </c>
      <c r="N41" s="10" t="inlineStr">
        <is>
          <t>Integrada al lago</t>
        </is>
      </c>
      <c r="O41" s="10" t="inlineStr">
        <is>
          <t>Portal nacional datos.gov.co, buscado por entidad y tema con ayuda de IA</t>
        </is>
      </c>
      <c r="P41" s="10" t="inlineStr">
        <is>
          <t>Trae los autores como figuras públicas (concejales), no datos personales sensibles. · Entrega 2: Abierto. Licencia leída el 2026-10-24 en http://creativecommons.org/licenses/by-sa/4.0/legalcode.</t>
        </is>
      </c>
    </row>
    <row r="42" ht="51" customHeight="1">
      <c r="A42" s="10" t="inlineStr">
        <is>
          <t>F038</t>
        </is>
      </c>
      <c r="B42" s="10" t="inlineStr">
        <is>
          <t>Proyectos de acuerdo</t>
        </is>
      </c>
      <c r="C42" s="10" t="inlineStr">
        <is>
          <t>Concejo de Medellín</t>
        </is>
      </c>
      <c r="D42" s="10" t="inlineStr">
        <is>
          <t>Entidad pública</t>
        </is>
      </c>
      <c r="E42" s="10" t="inlineStr">
        <is>
          <t>https://www.datos.gov.co/d/sqkr-77ej</t>
        </is>
      </c>
      <c r="F42" s="10" t="inlineStr">
        <is>
          <t>JSON</t>
        </is>
      </c>
      <c r="G42" s="10" t="inlineStr">
        <is>
          <t>API sin llave</t>
        </is>
      </c>
      <c r="H42" s="10" t="inlineStr">
        <is>
          <t>Creative Commons Attribution | Share Alike 4.0 International</t>
        </is>
      </c>
      <c r="I42" s="10" t="inlineStr">
        <is>
          <t>No</t>
        </is>
      </c>
      <c r="J42" s="10" t="inlineStr">
        <is>
          <t>Medellín, Concejo Distrital</t>
        </is>
      </c>
      <c r="K42" s="10" t="inlineStr">
        <is>
          <t>2008 – 2025</t>
        </is>
      </c>
      <c r="L42" s="10" t="inlineStr">
        <is>
          <t>Mensual</t>
        </is>
      </c>
      <c r="M42" s="10" t="inlineStr">
        <is>
          <t>2026-09-27</t>
        </is>
      </c>
      <c r="N42" s="10" t="inlineStr">
        <is>
          <t>Integrada al lago</t>
        </is>
      </c>
      <c r="O42" s="10" t="inlineStr">
        <is>
          <t>Portal nacional datos.gov.co, buscado por entidad y tema con ayuda de IA</t>
        </is>
      </c>
      <c r="P42" s="10" t="inlineStr">
        <is>
          <t>Trae los autores como figuras públicas (concejales), no datos personales sensibles. · Entrega 2: Abierto. Licencia leída el 2026-10-24 en http://creativecommons.org/licenses/by-sa/4.0/legalcode.</t>
        </is>
      </c>
    </row>
    <row r="43" ht="51" customHeight="1">
      <c r="A43" s="10" t="inlineStr">
        <is>
          <t>F039</t>
        </is>
      </c>
      <c r="B43" s="10" t="inlineStr">
        <is>
          <t>Inversión pública por comuna y corregimiento</t>
        </is>
      </c>
      <c r="C43" s="10" t="inlineStr">
        <is>
          <t>Departamento Administrativo de Planeación · Alcaldía de Medellín</t>
        </is>
      </c>
      <c r="D43" s="10" t="inlineStr">
        <is>
          <t>Entidad pública</t>
        </is>
      </c>
      <c r="E43" s="10" t="inlineStr">
        <is>
          <t>https://www.medellin.gov.co/servidormapas/rest/services/hacienda_credi_publ/VM_Inversion_Publica/MapServer/0</t>
        </is>
      </c>
      <c r="F43" s="10" t="inlineStr">
        <is>
          <t>JSON</t>
        </is>
      </c>
      <c r="G43" s="10" t="inlineStr">
        <is>
          <t>API sin llave</t>
        </is>
      </c>
      <c r="H43" s="10" t="inlineStr">
        <is>
          <t>no declara</t>
        </is>
      </c>
      <c r="I43" s="10" t="inlineStr">
        <is>
          <t>No</t>
        </is>
      </c>
      <c r="J43" s="10" t="inlineStr">
        <is>
          <t>Medellín, por comuna y corregimiento</t>
        </is>
      </c>
      <c r="K43" s="10" t="inlineStr">
        <is>
          <t>2008 – 2024</t>
        </is>
      </c>
      <c r="L43" s="10" t="inlineStr">
        <is>
          <t>Anual</t>
        </is>
      </c>
      <c r="M43" s="10" t="inlineStr">
        <is>
          <t>2026-09-27</t>
        </is>
      </c>
      <c r="N43" s="10" t="inlineStr">
        <is>
          <t>Integrada al lago</t>
        </is>
      </c>
      <c r="O43" s="10" t="inlineStr">
        <is>
          <t>Servidor de mapas de la Alcaldía (ArcGIS REST), explorado por carpetas con ayuda de IA</t>
        </is>
      </c>
      <c r="P43" s="10" t="inlineStr">
        <is>
          <t>Solo la inversión que se puede localizar; no incluye la inversión de toda la ciudad. · Entrega 2: Abierto. Licencia leída el 2026-10-24 en https://www.medellin.gov.co/servidormapas/rest/services/hacienda_credi_publ/VM_Inversion_Publica/MapServer. El servicio ArcGIS tiene el campo copyrightText vacío.</t>
        </is>
      </c>
    </row>
    <row r="44" ht="63.75" customHeight="1">
      <c r="A44" s="10" t="inlineStr">
        <is>
          <t>F040</t>
        </is>
      </c>
      <c r="B44" s="10" t="inlineStr">
        <is>
          <t>SECOP II · contratos electrónicos del Distrito de Medellín</t>
        </is>
      </c>
      <c r="C44" s="10" t="inlineStr">
        <is>
          <t>Colombia Compra Eficiente</t>
        </is>
      </c>
      <c r="D44" s="10" t="inlineStr">
        <is>
          <t>Entidad pública</t>
        </is>
      </c>
      <c r="E44" s="10" t="inlineStr">
        <is>
          <t>https://www.datos.gov.co/d/jbjy-vk9h</t>
        </is>
      </c>
      <c r="F44" s="10" t="inlineStr">
        <is>
          <t>JSON</t>
        </is>
      </c>
      <c r="G44" s="10" t="inlineStr">
        <is>
          <t>API sin llave</t>
        </is>
      </c>
      <c r="H44" s="10" t="inlineStr">
        <is>
          <t>Creative Commons Attribution | Share Alike 4.0 International</t>
        </is>
      </c>
      <c r="I44" s="10" t="inlineStr">
        <is>
          <t>Personas identificables</t>
        </is>
      </c>
      <c r="J44" s="10" t="inlineStr">
        <is>
          <t>Nacional (se filtra el Distrito de Medellín)</t>
        </is>
      </c>
      <c r="K44" s="10" t="inlineStr">
        <is>
          <t>2018 – 2025</t>
        </is>
      </c>
      <c r="L44" s="10" t="inlineStr">
        <is>
          <t>Diaria</t>
        </is>
      </c>
      <c r="M44" s="10" t="inlineStr">
        <is>
          <t>2026-09-27</t>
        </is>
      </c>
      <c r="N44" s="10" t="inlineStr">
        <is>
          <t>Integrada al lago</t>
        </is>
      </c>
      <c r="O44" s="10" t="inlineStr">
        <is>
          <t>Portal nacional datos.gov.co, buscado por entidad y tema con ayuda de IA</t>
        </is>
      </c>
      <c r="P44" s="10" t="inlineStr">
        <is>
          <t>Los contratistas pueden ser personas naturales con nombre y documento; en el lago solo se guardan conteos y valores. Es el dataset más actualizado del conjunto. · Entrega 2: Abierto, solo agregados: se publican totales por tipo y año y los 10 contratos de mayor valor, que son de empresas; no se guarda ningún documento de proveedores. Licencia leída el 2026-10-24 en http://creativecommons.org/licenses/by-sa/4.0/legalcode.</t>
        </is>
      </c>
    </row>
    <row r="45" ht="63.75" customHeight="1">
      <c r="A45" s="10" t="inlineStr">
        <is>
          <t>F041</t>
        </is>
      </c>
      <c r="B45" s="10" t="inlineStr">
        <is>
          <t>Facturación histórica del impuesto predial unificado por comuna de cobro</t>
        </is>
      </c>
      <c r="C45" s="10" t="inlineStr">
        <is>
          <t>Secretaría de Hacienda · Alcaldía de Medellín (MEData)</t>
        </is>
      </c>
      <c r="D45" s="10" t="inlineStr">
        <is>
          <t>Entidad pública</t>
        </is>
      </c>
      <c r="E45" s="10" t="inlineStr">
        <is>
          <t>http://medata.gov.co/sites/default/files/distribution/1-016-12-000302/facturacion_historica_impuesto_predial_unificado_por_concepto_por_comuna_de_cobro.csv</t>
        </is>
      </c>
      <c r="F45" s="10" t="inlineStr">
        <is>
          <t>CSV</t>
        </is>
      </c>
      <c r="G45" s="10" t="inlineStr">
        <is>
          <t>Descarga directa</t>
        </is>
      </c>
      <c r="H45" s="10" t="inlineStr">
        <is>
          <t>Atribución 4.0 Internacional (CC BY 4.0)</t>
        </is>
      </c>
      <c r="I45" s="10" t="inlineStr">
        <is>
          <t>Solo conteos por zona</t>
        </is>
      </c>
      <c r="J45" s="10" t="inlineStr">
        <is>
          <t>Medellín, por comuna de cobro</t>
        </is>
      </c>
      <c r="K45" s="10" t="inlineStr">
        <is>
          <t>2020 (histórico)</t>
        </is>
      </c>
      <c r="L45" s="10" t="inlineStr">
        <is>
          <t>Única vez</t>
        </is>
      </c>
      <c r="M45" s="10" t="inlineStr">
        <is>
          <t>2026-09-27</t>
        </is>
      </c>
      <c r="N45" s="10" t="inlineStr">
        <is>
          <t>Integrada al lago</t>
        </is>
      </c>
      <c r="O45" s="10" t="inlineStr">
        <is>
          <t>Portal MEData de la Alcaldía de Medellín, buscado por tema con ayuda de IA</t>
        </is>
      </c>
      <c r="P45" s="10" t="inlineStr">
        <is>
          <t>Cierra en 2020. · Entrega 2: Abierto. Licencia leída el 2026-10-24 en https://medata.app.medellin.gov.co/dataset/1-016-12-000302.</t>
        </is>
      </c>
    </row>
    <row r="46" ht="51" customHeight="1">
      <c r="A46" s="10" t="inlineStr">
        <is>
          <t>F042</t>
        </is>
      </c>
      <c r="B46" s="10" t="inlineStr">
        <is>
          <t>Reporte de estratificación y cobertura de acueducto, alcantarillado y aseo</t>
        </is>
      </c>
      <c r="C46" s="10" t="inlineStr">
        <is>
          <t>Subsecretaría de Servicios Públicos · Alcaldía de Medellín (MEData)</t>
        </is>
      </c>
      <c r="D46" s="10" t="inlineStr">
        <is>
          <t>Entidad pública</t>
        </is>
      </c>
      <c r="E46" s="10" t="inlineStr">
        <is>
          <t>http://medata.gov.co/sites/default/files/distribution/1-014-26-000256/reporte_de_estratificacion_y_cobertura.csv</t>
        </is>
      </c>
      <c r="F46" s="10" t="inlineStr">
        <is>
          <t>CSV</t>
        </is>
      </c>
      <c r="G46" s="10" t="inlineStr">
        <is>
          <t>Descarga directa</t>
        </is>
      </c>
      <c r="H46" s="10" t="inlineStr">
        <is>
          <t>Atribución 4.0 Internacional (CC BY 4.0)</t>
        </is>
      </c>
      <c r="I46" s="10" t="inlineStr">
        <is>
          <t>Solo conteos por zona</t>
        </is>
      </c>
      <c r="J46" s="10" t="inlineStr">
        <is>
          <t>Medellín, por comuna y corregimiento</t>
        </is>
      </c>
      <c r="K46" s="10" t="inlineStr">
        <is>
          <t>2019 (histórico)</t>
        </is>
      </c>
      <c r="L46" s="10" t="inlineStr">
        <is>
          <t>Única vez</t>
        </is>
      </c>
      <c r="M46" s="10" t="inlineStr">
        <is>
          <t>2026-09-27</t>
        </is>
      </c>
      <c r="N46" s="10" t="inlineStr">
        <is>
          <t>Integrada al lago</t>
        </is>
      </c>
      <c r="O46" s="10" t="inlineStr">
        <is>
          <t>Portal MEData de la Alcaldía de Medellín, buscado por tema con ayuda de IA</t>
        </is>
      </c>
      <c r="P46" s="10" t="inlineStr">
        <is>
          <t>Corte de 2019. · Entrega 2: Abierto. Licencia leída el 2026-10-24 en https://medata.app.medellin.gov.co/dataset/1-014-26-000256.</t>
        </is>
      </c>
    </row>
    <row r="47" ht="51" customHeight="1">
      <c r="A47" s="10" t="inlineStr">
        <is>
          <t>F043</t>
        </is>
      </c>
      <c r="B47" s="10" t="inlineStr">
        <is>
          <t>Suscriptores y consumos de acueducto y alcantarillado del gran prestador (EPM)</t>
        </is>
      </c>
      <c r="C47" s="10" t="inlineStr">
        <is>
          <t>Subsecretaría de Servicios Públicos · Alcaldía de Medellín (MEData)</t>
        </is>
      </c>
      <c r="D47" s="10" t="inlineStr">
        <is>
          <t>Entidad pública</t>
        </is>
      </c>
      <c r="E47" s="10" t="inlineStr">
        <is>
          <t>http://medata.gov.co/sites/default/files/distribution/1-014-26-000261/suscriptores_y_consumos_gran_prestador.csv</t>
        </is>
      </c>
      <c r="F47" s="10" t="inlineStr">
        <is>
          <t>CSV</t>
        </is>
      </c>
      <c r="G47" s="10" t="inlineStr">
        <is>
          <t>Descarga directa</t>
        </is>
      </c>
      <c r="H47" s="10" t="inlineStr">
        <is>
          <t>Atribución 4.0 Internacional (CC BY 4.0)</t>
        </is>
      </c>
      <c r="I47" s="10" t="inlineStr">
        <is>
          <t>Solo conteos por zona</t>
        </is>
      </c>
      <c r="J47" s="10" t="inlineStr">
        <is>
          <t>Medellín, por comuna y estrato</t>
        </is>
      </c>
      <c r="K47" s="10" t="inlineStr">
        <is>
          <t>dic 2017 – ago 2023</t>
        </is>
      </c>
      <c r="L47" s="10" t="inlineStr">
        <is>
          <t>Única vez</t>
        </is>
      </c>
      <c r="M47" s="10" t="inlineStr">
        <is>
          <t>2026-09-27</t>
        </is>
      </c>
      <c r="N47" s="10" t="inlineStr">
        <is>
          <t>Integrada al lago</t>
        </is>
      </c>
      <c r="O47" s="10" t="inlineStr">
        <is>
          <t>Portal MEData de la Alcaldía de Medellín, buscado por tema con ayuda de IA</t>
        </is>
      </c>
      <c r="P47" s="10" t="inlineStr">
        <is>
          <t>Serie mensual cerrada en agosto de 2023. · Entrega 2: Abierto. Licencia leída el 2026-10-24 en https://medata.app.medellin.gov.co/dataset/1-014-26-000261.</t>
        </is>
      </c>
    </row>
    <row r="48" ht="51" customHeight="1">
      <c r="A48" s="10" t="inlineStr">
        <is>
          <t>F044</t>
        </is>
      </c>
      <c r="B48" s="10" t="inlineStr">
        <is>
          <t>Suscriptores y consumos de los pequeños prestadores de acueducto y alcantarillado</t>
        </is>
      </c>
      <c r="C48" s="10" t="inlineStr">
        <is>
          <t>Subsecretaría de Servicios Públicos · Alcaldía de Medellín (MEData)</t>
        </is>
      </c>
      <c r="D48" s="10" t="inlineStr">
        <is>
          <t>Entidad pública</t>
        </is>
      </c>
      <c r="E48" s="10" t="inlineStr">
        <is>
          <t>http://medata.gov.co/sites/default/files/distribution/1-014-26-000262/suscriptores_y_consumos_pequenos_prestadores.csv</t>
        </is>
      </c>
      <c r="F48" s="10" t="inlineStr">
        <is>
          <t>CSV</t>
        </is>
      </c>
      <c r="G48" s="10" t="inlineStr">
        <is>
          <t>Descarga directa</t>
        </is>
      </c>
      <c r="H48" s="10" t="inlineStr">
        <is>
          <t>Atribución 4.0 Internacional (CC BY 4.0)</t>
        </is>
      </c>
      <c r="I48" s="10" t="inlineStr">
        <is>
          <t>Solo conteos por zona</t>
        </is>
      </c>
      <c r="J48" s="10" t="inlineStr">
        <is>
          <t>Medellín, por prestador rural</t>
        </is>
      </c>
      <c r="K48" s="10" t="inlineStr">
        <is>
          <t>sep 2023 (histórico)</t>
        </is>
      </c>
      <c r="L48" s="10" t="inlineStr">
        <is>
          <t>Única vez</t>
        </is>
      </c>
      <c r="M48" s="10" t="inlineStr">
        <is>
          <t>2026-09-27</t>
        </is>
      </c>
      <c r="N48" s="10" t="inlineStr">
        <is>
          <t>Integrada al lago</t>
        </is>
      </c>
      <c r="O48" s="10" t="inlineStr">
        <is>
          <t>Portal MEData de la Alcaldía de Medellín, buscado por tema con ayuda de IA</t>
        </is>
      </c>
      <c r="P48" s="10" t="inlineStr">
        <is>
          <t>Corte de septiembre de 2023. · Entrega 2: Abierto. Licencia leída el 2026-10-24 en https://medata.app.medellin.gov.co/dataset/1-014-26-000262.</t>
        </is>
      </c>
    </row>
    <row r="49" ht="51" customHeight="1">
      <c r="A49" s="10" t="inlineStr">
        <is>
          <t>F045</t>
        </is>
      </c>
      <c r="B49" s="10" t="inlineStr">
        <is>
          <t>Suscriptores del servicio de aseo (Emvarias)</t>
        </is>
      </c>
      <c r="C49" s="10" t="inlineStr">
        <is>
          <t>Subsecretaría de Servicios Públicos · Alcaldía de Medellín (MEData)</t>
        </is>
      </c>
      <c r="D49" s="10" t="inlineStr">
        <is>
          <t>Entidad pública</t>
        </is>
      </c>
      <c r="E49" s="10" t="inlineStr">
        <is>
          <t>http://medata.gov.co/sites/default/files/distribution/1-014-26-000260/suscriptores_aseo.csv</t>
        </is>
      </c>
      <c r="F49" s="10" t="inlineStr">
        <is>
          <t>CSV</t>
        </is>
      </c>
      <c r="G49" s="10" t="inlineStr">
        <is>
          <t>Descarga directa</t>
        </is>
      </c>
      <c r="H49" s="10" t="inlineStr">
        <is>
          <t>Atribución 4.0 Internacional (CC BY 4.0)</t>
        </is>
      </c>
      <c r="I49" s="10" t="inlineStr">
        <is>
          <t>Solo conteos por zona</t>
        </is>
      </c>
      <c r="J49" s="10" t="inlineStr">
        <is>
          <t>Medellín, por comuna y estrato</t>
        </is>
      </c>
      <c r="K49" s="10" t="inlineStr">
        <is>
          <t>ago 2023 (histórico)</t>
        </is>
      </c>
      <c r="L49" s="10" t="inlineStr">
        <is>
          <t>Única vez</t>
        </is>
      </c>
      <c r="M49" s="10" t="inlineStr">
        <is>
          <t>2026-09-27</t>
        </is>
      </c>
      <c r="N49" s="10" t="inlineStr">
        <is>
          <t>Integrada al lago</t>
        </is>
      </c>
      <c r="O49" s="10" t="inlineStr">
        <is>
          <t>Portal MEData de la Alcaldía de Medellín, buscado por tema con ayuda de IA</t>
        </is>
      </c>
      <c r="P49" s="10" t="inlineStr">
        <is>
          <t>Corte de agosto de 2023. · Entrega 2: Abierto. Licencia leída el 2026-10-24 en https://medata.app.medellin.gov.co/dataset/1-014-26-000260.</t>
        </is>
      </c>
    </row>
    <row r="50" ht="51" customHeight="1">
      <c r="A50" s="10" t="inlineStr">
        <is>
          <t>F046</t>
        </is>
      </c>
      <c r="B50" s="10" t="inlineStr">
        <is>
          <t>Subsidios y contribuciones de acueducto y alcantarillado del gran prestador (EPM)</t>
        </is>
      </c>
      <c r="C50" s="10" t="inlineStr">
        <is>
          <t>Subsecretaría de Servicios Públicos · Alcaldía de Medellín (MEData)</t>
        </is>
      </c>
      <c r="D50" s="10" t="inlineStr">
        <is>
          <t>Entidad pública</t>
        </is>
      </c>
      <c r="E50" s="10" t="inlineStr">
        <is>
          <t>http://medata.gov.co/sites/default/files/distribution/1-014-26-000258/subsidios_y_contribuciones_gran_prestador.csv</t>
        </is>
      </c>
      <c r="F50" s="10" t="inlineStr">
        <is>
          <t>CSV</t>
        </is>
      </c>
      <c r="G50" s="10" t="inlineStr">
        <is>
          <t>Descarga directa</t>
        </is>
      </c>
      <c r="H50" s="10" t="inlineStr">
        <is>
          <t>Atribución 4.0 Internacional (CC BY 4.0)</t>
        </is>
      </c>
      <c r="I50" s="10" t="inlineStr">
        <is>
          <t>Solo conteos por zona</t>
        </is>
      </c>
      <c r="J50" s="10" t="inlineStr">
        <is>
          <t>Medellín, por comuna y estrato</t>
        </is>
      </c>
      <c r="K50" s="10" t="inlineStr">
        <is>
          <t>dic 2017 – ago 2023</t>
        </is>
      </c>
      <c r="L50" s="10" t="inlineStr">
        <is>
          <t>Única vez</t>
        </is>
      </c>
      <c r="M50" s="10" t="inlineStr">
        <is>
          <t>2026-09-27</t>
        </is>
      </c>
      <c r="N50" s="10" t="inlineStr">
        <is>
          <t>Integrada al lago</t>
        </is>
      </c>
      <c r="O50" s="10" t="inlineStr">
        <is>
          <t>Portal MEData de la Alcaldía de Medellín, buscado por tema con ayuda de IA</t>
        </is>
      </c>
      <c r="P50" s="10" t="inlineStr">
        <is>
          <t>Serie mensual cerrada en agosto de 2023. · Entrega 2: Abierto. Licencia leída el 2026-10-24 en https://medata.app.medellin.gov.co/dataset/1-014-26-000258.</t>
        </is>
      </c>
    </row>
    <row r="51" ht="51" customHeight="1">
      <c r="A51" s="10" t="inlineStr">
        <is>
          <t>F047</t>
        </is>
      </c>
      <c r="B51" s="10" t="inlineStr">
        <is>
          <t>Subsidios y contribuciones del servicio de aseo (Emvarias)</t>
        </is>
      </c>
      <c r="C51" s="10" t="inlineStr">
        <is>
          <t>Subsecretaría de Servicios Públicos · Alcaldía de Medellín (MEData)</t>
        </is>
      </c>
      <c r="D51" s="10" t="inlineStr">
        <is>
          <t>Entidad pública</t>
        </is>
      </c>
      <c r="E51" s="10" t="inlineStr">
        <is>
          <t>http://medata.gov.co/sites/default/files/distribution/1-014-26-000257/subsidios_y_contribuciones_aseo.csv</t>
        </is>
      </c>
      <c r="F51" s="10" t="inlineStr">
        <is>
          <t>CSV</t>
        </is>
      </c>
      <c r="G51" s="10" t="inlineStr">
        <is>
          <t>Descarga directa</t>
        </is>
      </c>
      <c r="H51" s="10" t="inlineStr">
        <is>
          <t>Atribución 4.0 Internacional (CC BY 4.0)</t>
        </is>
      </c>
      <c r="I51" s="10" t="inlineStr">
        <is>
          <t>Solo conteos por zona</t>
        </is>
      </c>
      <c r="J51" s="10" t="inlineStr">
        <is>
          <t>Medellín, por comuna y estrato</t>
        </is>
      </c>
      <c r="K51" s="10" t="inlineStr">
        <is>
          <t>dic 2017 – ago 2023</t>
        </is>
      </c>
      <c r="L51" s="10" t="inlineStr">
        <is>
          <t>Única vez</t>
        </is>
      </c>
      <c r="M51" s="10" t="inlineStr">
        <is>
          <t>2026-09-27</t>
        </is>
      </c>
      <c r="N51" s="10" t="inlineStr">
        <is>
          <t>Integrada al lago</t>
        </is>
      </c>
      <c r="O51" s="10" t="inlineStr">
        <is>
          <t>Portal MEData de la Alcaldía de Medellín, buscado por tema con ayuda de IA</t>
        </is>
      </c>
      <c r="P51" s="10" t="inlineStr">
        <is>
          <t>Serie mensual cerrada en agosto de 2023. · Entrega 2: Abierto. Licencia leída el 2026-10-24 en https://medata.app.medellin.gov.co/dataset/1-014-26-000257.</t>
        </is>
      </c>
    </row>
    <row r="52" ht="63.75" customHeight="1">
      <c r="A52" s="10" t="inlineStr">
        <is>
          <t>F048</t>
        </is>
      </c>
      <c r="B52" s="10" t="inlineStr">
        <is>
          <t>Tarifas de acueducto y aguas residuales para hogares</t>
        </is>
      </c>
      <c r="C52" s="10" t="inlineStr">
        <is>
          <t>Empresas Públicas de Medellín (EPM)</t>
        </is>
      </c>
      <c r="D52" s="10" t="inlineStr">
        <is>
          <t>Entidad pública</t>
        </is>
      </c>
      <c r="E52" s="10" t="inlineStr">
        <is>
          <t>https://www.datos.gov.co/d/nfrm-mmfe</t>
        </is>
      </c>
      <c r="F52" s="10" t="inlineStr">
        <is>
          <t>JSON</t>
        </is>
      </c>
      <c r="G52" s="10" t="inlineStr">
        <is>
          <t>API sin llave</t>
        </is>
      </c>
      <c r="H52" s="10" t="inlineStr">
        <is>
          <t>Creative Commons Attribution | Share Alike 4.0 International</t>
        </is>
      </c>
      <c r="I52" s="10" t="inlineStr">
        <is>
          <t>No</t>
        </is>
      </c>
      <c r="J52" s="10" t="inlineStr">
        <is>
          <t>Departamento de Antioquia, municipios atendidos por EPM</t>
        </is>
      </c>
      <c r="K52" s="10" t="inlineStr">
        <is>
          <t>abr 2017 – ago 2026</t>
        </is>
      </c>
      <c r="L52" s="10" t="inlineStr">
        <is>
          <t>Mensual</t>
        </is>
      </c>
      <c r="M52" s="10" t="inlineStr">
        <is>
          <t>2026-09-27</t>
        </is>
      </c>
      <c r="N52" s="10" t="inlineStr">
        <is>
          <t>Integrada al lago</t>
        </is>
      </c>
      <c r="O52" s="10" t="inlineStr">
        <is>
          <t>Portal nacional datos.gov.co, buscado por entidad y tema con ayuda de IA</t>
        </is>
      </c>
      <c r="P52" s="10" t="inlineStr">
        <is>
          <t>Tarifas por estrato; se toma Medellín. · Entrega 2: Abierto. Licencia leída el 2026-10-24 en http://creativecommons.org/licenses/by-sa/4.0/legalcode.</t>
        </is>
      </c>
    </row>
    <row r="53" ht="63.75" customHeight="1">
      <c r="A53" s="10" t="inlineStr">
        <is>
          <t>F049</t>
        </is>
      </c>
      <c r="B53" s="10" t="inlineStr">
        <is>
          <t>Tarifas de gas natural para hogares</t>
        </is>
      </c>
      <c r="C53" s="10" t="inlineStr">
        <is>
          <t>Empresas Públicas de Medellín (EPM)</t>
        </is>
      </c>
      <c r="D53" s="10" t="inlineStr">
        <is>
          <t>Entidad pública</t>
        </is>
      </c>
      <c r="E53" s="10" t="inlineStr">
        <is>
          <t>https://www.datos.gov.co/d/ekup-y869</t>
        </is>
      </c>
      <c r="F53" s="10" t="inlineStr">
        <is>
          <t>JSON</t>
        </is>
      </c>
      <c r="G53" s="10" t="inlineStr">
        <is>
          <t>API sin llave</t>
        </is>
      </c>
      <c r="H53" s="10" t="inlineStr">
        <is>
          <t>Creative Commons Attribution | Share Alike 4.0 International</t>
        </is>
      </c>
      <c r="I53" s="10" t="inlineStr">
        <is>
          <t>No</t>
        </is>
      </c>
      <c r="J53" s="10" t="inlineStr">
        <is>
          <t>Departamento de Antioquia, municipios atendidos por EPM</t>
        </is>
      </c>
      <c r="K53" s="10" t="inlineStr">
        <is>
          <t>ene 2020 – oct 2026</t>
        </is>
      </c>
      <c r="L53" s="10" t="inlineStr">
        <is>
          <t>Mensual</t>
        </is>
      </c>
      <c r="M53" s="10" t="inlineStr">
        <is>
          <t>2026-09-27</t>
        </is>
      </c>
      <c r="N53" s="10" t="inlineStr">
        <is>
          <t>Integrada al lago</t>
        </is>
      </c>
      <c r="O53" s="10" t="inlineStr">
        <is>
          <t>Portal nacional datos.gov.co, buscado por entidad y tema con ayuda de IA</t>
        </is>
      </c>
      <c r="P53" s="10" t="inlineStr">
        <is>
          <t>Tarifas por estrato y rango de consumo. · Entrega 2: Abierto. Licencia leída el 2026-10-24 en http://creativecommons.org/licenses/by-sa/4.0/legalcode.</t>
        </is>
      </c>
    </row>
    <row r="54" ht="38.25" customHeight="1">
      <c r="A54" s="10" t="inlineStr">
        <is>
          <t>F050</t>
        </is>
      </c>
      <c r="B54" s="10" t="inlineStr">
        <is>
          <t>Tarifas y costo de energía eléctrica, mercado regulado (publicación mensual)</t>
        </is>
      </c>
      <c r="C54" s="10" t="inlineStr">
        <is>
          <t>Empresas Públicas de Medellín (EPM)</t>
        </is>
      </c>
      <c r="D54" s="10" t="inlineStr">
        <is>
          <t>Entidad pública</t>
        </is>
      </c>
      <c r="E54" s="10" t="inlineStr">
        <is>
          <t>https://www.epm.com.co/clientesyusuarios/energia/tarifas-energia/</t>
        </is>
      </c>
      <c r="F54" s="10" t="inlineStr">
        <is>
          <t>Página web</t>
        </is>
      </c>
      <c r="G54" s="10" t="inlineStr">
        <is>
          <t>Solo PDF o página</t>
        </is>
      </c>
      <c r="H54" s="10" t="inlineStr">
        <is>
          <t>no declara</t>
        </is>
      </c>
      <c r="I54" s="10" t="inlineStr">
        <is>
          <t>No</t>
        </is>
      </c>
      <c r="J54" s="10" t="inlineStr">
        <is>
          <t>Área de servicio de EPM en Antioquia</t>
        </is>
      </c>
      <c r="K54" s="10" t="inlineStr">
        <is>
          <t>ene 2026 – sep 2026</t>
        </is>
      </c>
      <c r="L54" s="10" t="inlineStr">
        <is>
          <t>Mensual</t>
        </is>
      </c>
      <c r="M54" s="10" t="inlineStr">
        <is>
          <t>2026-09-27</t>
        </is>
      </c>
      <c r="N54" s="10" t="inlineStr">
        <is>
          <t>Integrada al lago</t>
        </is>
      </c>
      <c r="O54" s="10" t="inlineStr">
        <is>
          <t>Página de tarifas de EPM, indicada por la IA</t>
        </is>
      </c>
      <c r="P54" s="10" t="inlineStr">
        <is>
          <t>No hay API: las cifras se leen de la página y por eso la fuente queda «declarada», no observada. · Entrega 2: Abierto. Licencia leída el 2026-10-24 en https://www.epm.com.co/clientesyusuarios/energia/tarifas-energia/. El pie del sitio de EPM dice «EPM © Todos los derechos reservados 2026» y remite a un «Manual de Derechos de Autor y/o autorización de uso sobre los contenidos»..</t>
        </is>
      </c>
    </row>
    <row r="55" ht="51" customHeight="1">
      <c r="A55" s="10" t="inlineStr">
        <is>
          <t>F051</t>
        </is>
      </c>
      <c r="B55" s="10" t="inlineStr">
        <is>
          <t>Registro de estaciones de clasificación y aprovechamiento (ECA)</t>
        </is>
      </c>
      <c r="C55" s="10" t="inlineStr">
        <is>
          <t>Superintendencia de Servicios Públicos Domiciliarios</t>
        </is>
      </c>
      <c r="D55" s="10" t="inlineStr">
        <is>
          <t>Entidad pública</t>
        </is>
      </c>
      <c r="E55" s="10" t="inlineStr">
        <is>
          <t>https://www.datos.gov.co/d/y97c-tfd9</t>
        </is>
      </c>
      <c r="F55" s="10" t="inlineStr">
        <is>
          <t>JSON</t>
        </is>
      </c>
      <c r="G55" s="10" t="inlineStr">
        <is>
          <t>API sin llave</t>
        </is>
      </c>
      <c r="H55" s="10" t="inlineStr">
        <is>
          <t>Creative Commons Attribution | Share Alike 4.0 International</t>
        </is>
      </c>
      <c r="I55" s="10" t="inlineStr">
        <is>
          <t>No</t>
        </is>
      </c>
      <c r="J55" s="10" t="inlineStr">
        <is>
          <t>Nacional, por estación (se filtra Medellín)</t>
        </is>
      </c>
      <c r="K55" s="10" t="inlineStr">
        <is>
          <t>Certificado hasta 2024-07-22</t>
        </is>
      </c>
      <c r="L55" s="10" t="inlineStr">
        <is>
          <t>Anual</t>
        </is>
      </c>
      <c r="M55" s="10" t="inlineStr">
        <is>
          <t>2026-09-27</t>
        </is>
      </c>
      <c r="N55" s="10" t="inlineStr">
        <is>
          <t>Integrada al lago</t>
        </is>
      </c>
      <c r="O55" s="10" t="inlineStr">
        <is>
          <t>Portal nacional datos.gov.co, buscado por entidad y tema con ayuda de IA</t>
        </is>
      </c>
      <c r="P55" s="10" t="inlineStr">
        <is>
          <t>Registro con certificación hasta el 22 de julio de 2024. · Entrega 2: Abierto. Licencia leída el 2026-10-24 en http://creativecommons.org/licenses/by-sa/4.0/legalcode.</t>
        </is>
      </c>
    </row>
    <row r="56" ht="63.75" customHeight="1">
      <c r="A56" s="10" t="inlineStr">
        <is>
          <t>F052</t>
        </is>
      </c>
      <c r="B56" s="10" t="inlineStr">
        <is>
          <t>Organizaciones recicladoras</t>
        </is>
      </c>
      <c r="C56" s="10" t="inlineStr">
        <is>
          <t>Subsecretaría de Servicios Públicos · Alcaldía de Medellín (MEData)</t>
        </is>
      </c>
      <c r="D56" s="10" t="inlineStr">
        <is>
          <t>Entidad pública</t>
        </is>
      </c>
      <c r="E56" s="10" t="inlineStr">
        <is>
          <t>http://medata.gov.co/sites/default/files/distribution/1-014-26-000593/Organizaciones_Recicladoras.csv</t>
        </is>
      </c>
      <c r="F56" s="10" t="inlineStr">
        <is>
          <t>CSV</t>
        </is>
      </c>
      <c r="G56" s="10" t="inlineStr">
        <is>
          <t>Descarga directa</t>
        </is>
      </c>
      <c r="H56" s="10" t="inlineStr">
        <is>
          <t>Atribución 4.0 Internacional (CC BY 4.0)</t>
        </is>
      </c>
      <c r="I56" s="10" t="inlineStr">
        <is>
          <t>No</t>
        </is>
      </c>
      <c r="J56" s="10" t="inlineStr">
        <is>
          <t>Medellín</t>
        </is>
      </c>
      <c r="K56" s="10" t="inlineStr">
        <is>
          <t>Registro sin fecha (MEData lo fecha en noviembre de 2023)</t>
        </is>
      </c>
      <c r="L56" s="10" t="inlineStr">
        <is>
          <t>No se sabe</t>
        </is>
      </c>
      <c r="M56" s="10" t="inlineStr">
        <is>
          <t>2026-09-27</t>
        </is>
      </c>
      <c r="N56" s="10" t="inlineStr">
        <is>
          <t>Integrada al lago</t>
        </is>
      </c>
      <c r="O56" s="10" t="inlineStr">
        <is>
          <t>Portal MEData de la Alcaldía de Medellín, buscado por tema con ayuda de IA</t>
        </is>
      </c>
      <c r="P56" s="10" t="inlineStr">
        <is>
          <t>Registro de organizaciones; sin fecha propia (MEData lo fecha en noviembre de 2023). · Entrega 2: Abierto. Licencia leída el 2026-10-24 en https://medata.app.medellin.gov.co/dataset/1-014-26-000593.</t>
        </is>
      </c>
    </row>
    <row r="57" ht="51" customHeight="1">
      <c r="A57" s="10" t="inlineStr">
        <is>
          <t>F053</t>
        </is>
      </c>
      <c r="B57" s="10" t="inlineStr">
        <is>
          <t>Accesos a internet fijo por municipio, segmento y tecnología</t>
        </is>
      </c>
      <c r="C57" s="10" t="inlineStr">
        <is>
          <t>Ministerio de Tecnologías de la Información y las Comunicaciones</t>
        </is>
      </c>
      <c r="D57" s="10" t="inlineStr">
        <is>
          <t>Entidad pública</t>
        </is>
      </c>
      <c r="E57" s="10" t="inlineStr">
        <is>
          <t>https://www.postdata.gov.co/sites/default/files/ACCESOS_INTERNET_FIJO_3_5.csv</t>
        </is>
      </c>
      <c r="F57" s="10" t="inlineStr">
        <is>
          <t>CSV</t>
        </is>
      </c>
      <c r="G57" s="10" t="inlineStr">
        <is>
          <t>Descarga directa</t>
        </is>
      </c>
      <c r="H57" s="10" t="inlineStr">
        <is>
          <t>no declara</t>
        </is>
      </c>
      <c r="I57" s="10" t="inlineStr">
        <is>
          <t>Solo conteos por zona</t>
        </is>
      </c>
      <c r="J57" s="10" t="inlineStr">
        <is>
          <t>Nacional, por municipio, segmento y tecnología</t>
        </is>
      </c>
      <c r="K57" s="10" t="inlineStr">
        <is>
          <t>T1 2024 – T1 2026</t>
        </is>
      </c>
      <c r="L57" s="10" t="inlineStr">
        <is>
          <t>Trimestral</t>
        </is>
      </c>
      <c r="M57" s="10" t="inlineStr">
        <is>
          <t>2026-09-27</t>
        </is>
      </c>
      <c r="N57" s="10" t="inlineStr">
        <is>
          <t>Integrada al lago</t>
        </is>
      </c>
      <c r="O57" s="10" t="inlineStr">
        <is>
          <t>Portal Postdata de MinTIC, indicado por la IA</t>
        </is>
      </c>
      <c r="P57" s="10" t="inlineStr">
        <is>
          <t>Accesos por municipio; no hay detalle por comuna. · Entrega 2: Abierto. Licencia leída el 2026-10-24 en https://www.datos.gov.co/d/fwe6-d4hc.</t>
        </is>
      </c>
    </row>
    <row r="58" ht="51" customHeight="1">
      <c r="A58" s="10" t="inlineStr">
        <is>
          <t>F054</t>
        </is>
      </c>
      <c r="B58" s="10" t="inlineStr">
        <is>
          <t>Cobertura de internet fijo por comuna</t>
        </is>
      </c>
      <c r="C58" s="10" t="inlineStr">
        <is>
          <t>MinTIC y operadores</t>
        </is>
      </c>
      <c r="D58" s="10" t="inlineStr">
        <is>
          <t>Entidad pública</t>
        </is>
      </c>
      <c r="E58" s="10" t="inlineStr">
        <is>
          <t>https://www.datos.gov.co/d/fwe6-d4hc</t>
        </is>
      </c>
      <c r="F58" s="10" t="inlineStr">
        <is>
          <t>JSON</t>
        </is>
      </c>
      <c r="G58" s="10" t="inlineStr">
        <is>
          <t>API sin llave</t>
        </is>
      </c>
      <c r="H58" s="10" t="inlineStr">
        <is>
          <t>no declara</t>
        </is>
      </c>
      <c r="I58" s="10" t="inlineStr">
        <is>
          <t>No</t>
        </is>
      </c>
      <c r="J58" s="10" t="inlineStr">
        <is>
          <t>No publicada</t>
        </is>
      </c>
      <c r="K58" s="10" t="inlineStr">
        <is>
          <t>No publicada</t>
        </is>
      </c>
      <c r="L58" s="10" t="inlineStr">
        <is>
          <t>No se sabe</t>
        </is>
      </c>
      <c r="M58" s="10" t="inlineStr">
        <is>
          <t>2026-09-27</t>
        </is>
      </c>
      <c r="N58" s="10" t="inlineStr">
        <is>
          <t>Candidata</t>
        </is>
      </c>
      <c r="O58" s="10" t="inlineStr">
        <is>
          <t>Portal nacional datos.gov.co, buscado por entidad y tema con ayuda de IA</t>
        </is>
      </c>
      <c r="P58" s="10" t="inlineStr">
        <is>
          <t>Candidata que no se pudo usar: el dataset no entrega cobertura por comuna y su ficha no declara licencia. · Entrega 2: Abierto. Licencia leída el 2026-10-24 en https://www.datos.gov.co/d/fwe6-d4hc.</t>
        </is>
      </c>
    </row>
    <row r="59" ht="38.25" customHeight="1">
      <c r="A59" s="10" t="inlineStr">
        <is>
          <t>F055</t>
        </is>
      </c>
      <c r="B59" s="10" t="inlineStr">
        <is>
          <t>Afluencia Metro por línea y hora</t>
        </is>
      </c>
      <c r="C59" s="10" t="inlineStr">
        <is>
          <t>Metro de Medellín</t>
        </is>
      </c>
      <c r="D59" s="10" t="inlineStr">
        <is>
          <t>Entidad pública</t>
        </is>
      </c>
      <c r="E59" s="10" t="inlineStr">
        <is>
          <t>https://metrodemedellin.maps.arcgis.com/sharing/rest/content/items/47c841c020644d26ae54d4e0871df154/data</t>
        </is>
      </c>
      <c r="F59" s="10" t="inlineStr">
        <is>
          <t>JSON</t>
        </is>
      </c>
      <c r="G59" s="10" t="inlineStr">
        <is>
          <t>Descarga directa</t>
        </is>
      </c>
      <c r="H59" s="10" t="inlineStr">
        <is>
          <t>no declara</t>
        </is>
      </c>
      <c r="I59" s="10" t="inlineStr">
        <is>
          <t>Solo conteos por zona</t>
        </is>
      </c>
      <c r="J59" s="10" t="inlineStr">
        <is>
          <t>Medellín y Valle de Aburrá, por línea y hora</t>
        </is>
      </c>
      <c r="K59" s="10" t="inlineStr">
        <is>
          <t>2026-01 – 2026-07</t>
        </is>
      </c>
      <c r="L59" s="10" t="inlineStr">
        <is>
          <t>Mensual</t>
        </is>
      </c>
      <c r="M59" s="10" t="inlineStr">
        <is>
          <t>2026-09-26</t>
        </is>
      </c>
      <c r="N59" s="10" t="inlineStr">
        <is>
          <t>Integrada al lago</t>
        </is>
      </c>
      <c r="O59" s="10" t="inlineStr">
        <is>
          <t>Portal de datos abiertos del Metro (ArcGIS), indicado por la IA</t>
        </is>
      </c>
      <c r="P59" s="10" t="inlineStr">
        <is>
          <t>Afluencia en el sistema Metro; se usa el archivo de datos del item de ArcGIS. · Entrega 2: Abierto. Licencia leída el 2026-10-24 en https://metrodemedellin.maps.arcgis.com/sharing/rest/content/items/47c841c020644d26ae54d4e0871df154?f=json.</t>
        </is>
      </c>
    </row>
    <row r="60" ht="51" customHeight="1">
      <c r="A60" s="10" t="inlineStr">
        <is>
          <t>F056</t>
        </is>
      </c>
      <c r="B60" s="10" t="inlineStr">
        <is>
          <t>Comunas, corregimientos, barrios y veredas de Medellín</t>
        </is>
      </c>
      <c r="C60" s="10" t="inlineStr">
        <is>
          <t>Área Metropolitana del Valle de Aburrá · Portal IDEM (catastro del Distrito)</t>
        </is>
      </c>
      <c r="D60" s="10" t="inlineStr">
        <is>
          <t>Entidad pública</t>
        </is>
      </c>
      <c r="E60" s="11" t="inlineStr">
        <is>
          <t>https://portalidem.metropol.gov.co/server/rest/services/DISTRITO_MEDELLIN_CATASTRO/MapServer</t>
        </is>
      </c>
      <c r="F60" s="10" t="inlineStr">
        <is>
          <t>GeoJSON</t>
        </is>
      </c>
      <c r="G60" s="10" t="inlineStr">
        <is>
          <t>API sin llave</t>
        </is>
      </c>
      <c r="H60" s="10" t="inlineStr">
        <is>
          <t>Sin verificar: la fuente no respondió al consultarla (No se pudo descargar https://portalidem.metropol.gov.co/server/rest/services/DISTRITO_MEDELLIN_CATASTRO/MapServer?f=json: HTTP Error 502: Ba)</t>
        </is>
      </c>
      <c r="I60" s="10" t="inlineStr">
        <is>
          <t>No</t>
        </is>
      </c>
      <c r="J60" s="10" t="inlineStr">
        <is>
          <t>Medellín, comunas, corregimientos, barrios y veredas</t>
        </is>
      </c>
      <c r="K60" s="10" t="inlineStr">
        <is>
          <t>Límite vigente</t>
        </is>
      </c>
      <c r="L60" s="10" t="inlineStr">
        <is>
          <t>No se sabe</t>
        </is>
      </c>
      <c r="M60" s="10" t="inlineStr">
        <is>
          <t>2026-09-26</t>
        </is>
      </c>
      <c r="N60" s="10" t="inlineStr">
        <is>
          <t>Integrada al lago</t>
        </is>
      </c>
      <c r="O60" s="10" t="inlineStr">
        <is>
          <t>Portal IDEM del Área Metropolitana (ArcGIS REST), explorado con ayuda de IA</t>
        </is>
      </c>
      <c r="P60" s="10" t="inlineStr">
        <is>
          <t>Límites vigentes del catastro del Distrito; sirven de base para todos los cruces. · Entrega 2: Abierto. Licencia leída el 2026-10-24 en https://portalidem.metropol.gov.co/server/rest/services/DISTRITO_MEDELLIN_CATASTRO/MapServer.</t>
        </is>
      </c>
    </row>
    <row r="61" ht="51" customHeight="1">
      <c r="A61" s="10" t="inlineStr">
        <is>
          <t>F057</t>
        </is>
      </c>
      <c r="B61" s="10" t="inlineStr">
        <is>
          <t>Construcciones urbanas y rurales del catastro distrital</t>
        </is>
      </c>
      <c r="C61" s="10" t="inlineStr">
        <is>
          <t>Área Metropolitana del Valle de Aburrá · Portal IDEM (catastro del Distrito)</t>
        </is>
      </c>
      <c r="D61" s="10" t="inlineStr">
        <is>
          <t>Entidad pública</t>
        </is>
      </c>
      <c r="E61" s="10" t="inlineStr">
        <is>
          <t>https://portalidem.metropol.gov.co/server/rest/services/DISTRITO_MEDELLIN_CATASTRO/MapServer/8</t>
        </is>
      </c>
      <c r="F61" s="10" t="inlineStr">
        <is>
          <t>GeoJSON</t>
        </is>
      </c>
      <c r="G61" s="10" t="inlineStr">
        <is>
          <t>API sin llave</t>
        </is>
      </c>
      <c r="H61" s="10" t="inlineStr">
        <is>
          <t>Sin verificar: la fuente no respondió al consultarla (No se pudo descargar https://portalidem.metropol.gov.co/server/rest/services/DISTRITO_MEDELLIN_CATASTRO/MapServer?f=json: HTTP Error 502: Ba)</t>
        </is>
      </c>
      <c r="I61" s="10" t="inlineStr">
        <is>
          <t>No</t>
        </is>
      </c>
      <c r="J61" s="10" t="inlineStr">
        <is>
          <t>Medellín, urbano y rural</t>
        </is>
      </c>
      <c r="K61" s="10" t="inlineStr">
        <is>
          <t>Base catastral vigente</t>
        </is>
      </c>
      <c r="L61" s="10" t="inlineStr">
        <is>
          <t>Anual</t>
        </is>
      </c>
      <c r="M61" s="10" t="inlineStr">
        <is>
          <t>2026-09-26</t>
        </is>
      </c>
      <c r="N61" s="10" t="inlineStr">
        <is>
          <t>Integrada al lago</t>
        </is>
      </c>
      <c r="O61" s="10" t="inlineStr">
        <is>
          <t>Portal IDEM del Área Metropolitana (ArcGIS REST), explorado con ayuda de IA</t>
        </is>
      </c>
      <c r="P61" s="10" t="inlineStr">
        <is>
          <t>Huellas de edificaciones con pisos y uso; sin propietarios. Es la capa más pesada (se sirve como PMTiles). · Entrega 2: Abierto. Licencia leída el 2026-10-24 en https://portalidem.metropol.gov.co/server/rest/services/DISTRITO_MEDELLIN_CATASTRO/MapServer/8.</t>
        </is>
      </c>
    </row>
    <row r="62" ht="38.25" customHeight="1">
      <c r="A62" s="10" t="inlineStr">
        <is>
          <t>F058</t>
        </is>
      </c>
      <c r="B62" s="10" t="inlineStr">
        <is>
          <t>POT (Acuerdo 48 de 2014) · tratamientos urbanos con altura normativa</t>
        </is>
      </c>
      <c r="C62" s="10" t="inlineStr">
        <is>
          <t>Área Metropolitana del Valle de Aburrá · Portal IDEM</t>
        </is>
      </c>
      <c r="D62" s="10" t="inlineStr">
        <is>
          <t>Entidad pública</t>
        </is>
      </c>
      <c r="E62" s="10" t="inlineStr">
        <is>
          <t>https://portalidem.metropol.gov.co/server/rest/services/DISTRITO_MEDELLIN_POT/MapServer/5</t>
        </is>
      </c>
      <c r="F62" s="10" t="inlineStr">
        <is>
          <t>GeoJSON</t>
        </is>
      </c>
      <c r="G62" s="10" t="inlineStr">
        <is>
          <t>API sin llave</t>
        </is>
      </c>
      <c r="H62" s="10" t="inlineStr">
        <is>
          <t>Sin verificar: la fuente no respondió al consultarla (No se pudo descargar https://portalidem.metropol.gov.co/server/rest/services/DISTRITO_MEDELLIN_POT/MapServer?f=json: HTTP Error 502: Bad Gat)</t>
        </is>
      </c>
      <c r="I62" s="10" t="inlineStr">
        <is>
          <t>No</t>
        </is>
      </c>
      <c r="J62" s="10" t="inlineStr">
        <is>
          <t>Medellín, suelo urbano</t>
        </is>
      </c>
      <c r="K62" s="10" t="inlineStr">
        <is>
          <t>POT vigente (Acuerdo 48 de 2014)</t>
        </is>
      </c>
      <c r="L62" s="10" t="inlineStr">
        <is>
          <t>Única vez</t>
        </is>
      </c>
      <c r="M62" s="10" t="inlineStr">
        <is>
          <t>2026-09-26</t>
        </is>
      </c>
      <c r="N62" s="10" t="inlineStr">
        <is>
          <t>Integrada al lago</t>
        </is>
      </c>
      <c r="O62" s="10" t="inlineStr">
        <is>
          <t>Portal IDEM del Área Metropolitana (ArcGIS REST), explorado con ayuda de IA</t>
        </is>
      </c>
      <c r="P62" s="10" t="inlineStr">
        <is>
          <t>POT de 2014; hay una revisión en curso que aún no es oficial. · Entrega 2: Abierto. Licencia leída el 2026-10-24 en https://portalidem.metropol.gov.co/server/rest/services/DISTRITO_MEDELLIN_POT/MapServer/5.</t>
        </is>
      </c>
    </row>
    <row r="63" ht="51" customHeight="1">
      <c r="A63" s="10" t="inlineStr">
        <is>
          <t>F059</t>
        </is>
      </c>
      <c r="B63" s="10" t="inlineStr">
        <is>
          <t>Ortofoto 2024 del Distrito</t>
        </is>
      </c>
      <c r="C63" s="10" t="inlineStr">
        <is>
          <t>Alcaldía de Medellín</t>
        </is>
      </c>
      <c r="D63" s="10" t="inlineStr">
        <is>
          <t>Entidad pública</t>
        </is>
      </c>
      <c r="E63" s="10" t="inlineStr">
        <is>
          <t>https://www.medellin.gov.co/servidormapas/rest/services/ServiciosCiudad/IMAGEN_WEBM_2024/MapServer</t>
        </is>
      </c>
      <c r="F63" s="10" t="inlineStr">
        <is>
          <t>Otro</t>
        </is>
      </c>
      <c r="G63" s="10" t="inlineStr">
        <is>
          <t>API sin llave</t>
        </is>
      </c>
      <c r="H63" s="10" t="inlineStr">
        <is>
          <t>no declara</t>
        </is>
      </c>
      <c r="I63" s="10" t="inlineStr">
        <is>
          <t>No</t>
        </is>
      </c>
      <c r="J63" s="10" t="inlineStr">
        <is>
          <t>Medellín</t>
        </is>
      </c>
      <c r="K63" s="10" t="inlineStr">
        <is>
          <t>Servicio vigente</t>
        </is>
      </c>
      <c r="L63" s="10" t="inlineStr">
        <is>
          <t>Única vez</t>
        </is>
      </c>
      <c r="M63" s="10" t="inlineStr">
        <is>
          <t>2026-09-26</t>
        </is>
      </c>
      <c r="N63" s="10" t="inlineStr">
        <is>
          <t>Integrada al lago</t>
        </is>
      </c>
      <c r="O63" s="10" t="inlineStr">
        <is>
          <t>Servidor de mapas de la Alcaldía (ArcGIS REST), explorado por carpetas con ayuda de IA</t>
        </is>
      </c>
      <c r="P63" s="10" t="inlineStr">
        <is>
          <t>Teselas de imagen (hasta el nivel 23) del vuelo de 2024; se sirven a través de un proxy local. · Entrega 2: Abierto. Licencia leída el 2026-10-24 en https://www.medellin.gov.co/servidormapas/rest/services/ServiciosCiudad/IMAGEN_WEBM_2024/MapServer. El servicio solo trae un crédito (copyrightText): «Alcaldia de Medellin».</t>
        </is>
      </c>
    </row>
    <row r="64" ht="51" customHeight="1">
      <c r="A64" s="10" t="inlineStr">
        <is>
          <t>F060</t>
        </is>
      </c>
      <c r="B64" s="10" t="inlineStr">
        <is>
          <t>World Imagery</t>
        </is>
      </c>
      <c r="C64" s="10" t="inlineStr">
        <is>
          <t>Esri, Maxar, Earthstar Geographics</t>
        </is>
      </c>
      <c r="D64" s="10" t="inlineStr">
        <is>
          <t>Empresa privada</t>
        </is>
      </c>
      <c r="E64" s="10" t="inlineStr">
        <is>
          <t>https://server.arcgisonline.com/ArcGIS/rest/services/World_Imagery/MapServer</t>
        </is>
      </c>
      <c r="F64" s="10" t="inlineStr">
        <is>
          <t>Otro</t>
        </is>
      </c>
      <c r="G64" s="10" t="inlineStr">
        <is>
          <t>API sin llave</t>
        </is>
      </c>
      <c r="H64" s="10" t="inlineStr">
        <is>
          <t>This work is licensed under the Esri Master License Agreement.</t>
        </is>
      </c>
      <c r="I64" s="10" t="inlineStr">
        <is>
          <t>No</t>
        </is>
      </c>
      <c r="J64" s="10" t="inlineStr">
        <is>
          <t>Global</t>
        </is>
      </c>
      <c r="K64" s="10" t="inlineStr">
        <is>
          <t>Servicio vigente</t>
        </is>
      </c>
      <c r="L64" s="10" t="inlineStr">
        <is>
          <t>No se sabe</t>
        </is>
      </c>
      <c r="M64" s="10" t="inlineStr">
        <is>
          <t>2026-09-26</t>
        </is>
      </c>
      <c r="N64" s="10" t="inlineStr">
        <is>
          <t>Integrada al lago</t>
        </is>
      </c>
      <c r="O64" s="10" t="inlineStr">
        <is>
          <t>Mapa base satelital estándar, sugerido por la IA</t>
        </is>
      </c>
      <c r="P64" s="10" t="inlineStr">
        <is>
          <t>Solo mapa de fondo; exige mostrar la atribución de Esri. · Entrega 2: Abierto. Licencia leída el 2026-10-24 en https://www.arcgis.com/home/item.html?id=10df2279f9684e4a9f6a7f08febac2a9.</t>
        </is>
      </c>
    </row>
    <row r="65">
      <c r="A65" s="10" t="inlineStr">
        <is>
          <t>F061</t>
        </is>
      </c>
      <c r="B65" s="10" t="inlineStr">
        <is>
          <t>Terrain Tiles (Terrarium)</t>
        </is>
      </c>
      <c r="C65" s="10" t="inlineStr">
        <is>
          <t>Mapzen · AWS Open Data</t>
        </is>
      </c>
      <c r="D65" s="10" t="inlineStr">
        <is>
          <t>Empresa privada</t>
        </is>
      </c>
      <c r="E65" s="10" t="inlineStr">
        <is>
          <t>https://registry.opendata.aws/terrain-tiles/</t>
        </is>
      </c>
      <c r="F65" s="10" t="inlineStr">
        <is>
          <t>Otro</t>
        </is>
      </c>
      <c r="G65" s="10" t="inlineStr">
        <is>
          <t>API sin llave</t>
        </is>
      </c>
      <c r="H65" s="10" t="inlineStr">
        <is>
          <t>License: https://github.com/tilezen/joerd/blob/master/docs/attribution.md (campo «License» del registro de AWS Open Data; ese documento exige atribución por cada proveedor de datos de terreno).</t>
        </is>
      </c>
      <c r="I65" s="10" t="inlineStr">
        <is>
          <t>No</t>
        </is>
      </c>
      <c r="J65" s="10" t="inlineStr">
        <is>
          <t>Global</t>
        </is>
      </c>
      <c r="K65" s="10" t="inlineStr">
        <is>
          <t>Servicio vigente</t>
        </is>
      </c>
      <c r="L65" s="10" t="inlineStr">
        <is>
          <t>Única vez</t>
        </is>
      </c>
      <c r="M65" s="10" t="inlineStr">
        <is>
          <t>2026-09-26</t>
        </is>
      </c>
      <c r="N65" s="10" t="inlineStr">
        <is>
          <t>Integrada al lago</t>
        </is>
      </c>
      <c r="O65" s="10" t="inlineStr">
        <is>
          <t>Registro de datos abiertos de AWS, sugerido por la IA</t>
        </is>
      </c>
      <c r="P65" s="10" t="inlineStr">
        <is>
          <t>Relieve en teselas PNG tipo Terrarium, ~30 m en Colombia. · Entrega 2: Abierto. Licencia leída el 2026-10-24 en https://registry.opendata.aws/terrain-tiles/.</t>
        </is>
      </c>
    </row>
    <row r="66">
      <c r="A66" s="10" t="inlineStr">
        <is>
          <t>F062</t>
        </is>
      </c>
      <c r="B66" s="10" t="inlineStr">
        <is>
          <t>Cartografía base (OpenFreeMap · OpenMapTiles · OpenStreetMap)</t>
        </is>
      </c>
      <c r="C66" s="10" t="inlineStr">
        <is>
          <t>OpenFreeMap</t>
        </is>
      </c>
      <c r="D66" s="10" t="inlineStr">
        <is>
          <t>Plataforma colaborativa</t>
        </is>
      </c>
      <c r="E66" s="10" t="inlineStr">
        <is>
          <t>https://openfreemap.org/</t>
        </is>
      </c>
      <c r="F66" s="10" t="inlineStr">
        <is>
          <t>Otro</t>
        </is>
      </c>
      <c r="G66" s="10" t="inlineStr">
        <is>
          <t>API sin llave</t>
        </is>
      </c>
      <c r="H66" s="10" t="inlineStr">
        <is>
          <t>The license of this project is MIT. Map data is from OpenStreetMap.</t>
        </is>
      </c>
      <c r="I66" s="10" t="inlineStr">
        <is>
          <t>No</t>
        </is>
      </c>
      <c r="J66" s="10" t="inlineStr">
        <is>
          <t>Global</t>
        </is>
      </c>
      <c r="K66" s="10" t="inlineStr">
        <is>
          <t>Servicio vigente</t>
        </is>
      </c>
      <c r="L66" s="10" t="inlineStr">
        <is>
          <t>No se sabe</t>
        </is>
      </c>
      <c r="M66" s="10" t="inlineStr">
        <is>
          <t>2026-09-26</t>
        </is>
      </c>
      <c r="N66" s="10" t="inlineStr">
        <is>
          <t>Integrada al lago</t>
        </is>
      </c>
      <c r="O66" s="10" t="inlineStr">
        <is>
          <t>Búsqueda de mapas base abiertos sin llave, con ayuda de IA</t>
        </is>
      </c>
      <c r="P66" s="10" t="inlineStr">
        <is>
          <t>Teselas vectoriales gratuitas; exigen atribución a OpenFreeMap, OpenMapTiles y OpenStreetMap. · Entrega 2: Abierto. Licencia leída el 2026-10-24 en https://openfreemap.org/.</t>
        </is>
      </c>
    </row>
    <row r="67">
      <c r="A67" s="10" t="inlineStr">
        <is>
          <t>F063</t>
        </is>
      </c>
      <c r="B67" s="10" t="inlineStr">
        <is>
          <t>Subestaciones y redes eléctricas del Valle de Aburrá (riesgo tecnológico)</t>
        </is>
      </c>
      <c r="C67" s="10" t="inlineStr">
        <is>
          <t>Área Metropolitana del Valle de Aburrá · Portal IDEM (datos de EPM)</t>
        </is>
      </c>
      <c r="D67" s="10" t="inlineStr">
        <is>
          <t>Entidad pública</t>
        </is>
      </c>
      <c r="E67" s="10" t="inlineStr">
        <is>
          <t>https://portalidem.metropol.gov.co/server/rest/services/Hosted/Riesgo_Tecnol%C3%B3gico/FeatureServer</t>
        </is>
      </c>
      <c r="F67" s="10" t="inlineStr">
        <is>
          <t>GeoJSON</t>
        </is>
      </c>
      <c r="G67" s="10" t="inlineStr">
        <is>
          <t>API sin llave</t>
        </is>
      </c>
      <c r="H67" s="10" t="inlineStr">
        <is>
          <t>Sin verificar: la fuente no respondió al consultarla (No se pudo descargar https://portalidem.metropol.gov.co/server/rest/services/Hosted/Riesgo_Tecnol%C3%B3gico/FeatureServer?f=json: HTTP Error)</t>
        </is>
      </c>
      <c r="I67" s="10" t="inlineStr">
        <is>
          <t>No</t>
        </is>
      </c>
      <c r="J67" s="10" t="inlineStr">
        <is>
          <t>Valle de Aburrá (se recorta a Medellín)</t>
        </is>
      </c>
      <c r="K67" s="10" t="inlineStr">
        <is>
          <t>Red vigente</t>
        </is>
      </c>
      <c r="L67" s="10" t="inlineStr">
        <is>
          <t>No se sabe</t>
        </is>
      </c>
      <c r="M67" s="10" t="inlineStr">
        <is>
          <t>2026-10-01</t>
        </is>
      </c>
      <c r="N67" s="10" t="inlineStr">
        <is>
          <t>Integrada al lago</t>
        </is>
      </c>
      <c r="O67" s="10" t="inlineStr">
        <is>
          <t>Portal IDEM del Área Metropolitana (ArcGIS REST), explorado con ayuda de IA</t>
        </is>
      </c>
      <c r="P67" s="10" t="inlineStr">
        <is>
          <t>Capas de riesgo tecnológico con datos de EPM: subestaciones y redes. · Entrega 2: Abierto. Licencia leída el 2026-10-24 en https://portalidem.metropol.gov.co/server/rest/services/Hosted/Riesgo_Tecnol%C3%B3gico/FeatureServer.</t>
        </is>
      </c>
    </row>
    <row r="68">
      <c r="A68" s="10" t="inlineStr">
        <is>
          <t>F064</t>
        </is>
      </c>
      <c r="B68" s="10" t="inlineStr">
        <is>
          <t>Construcciones del catastro con su comuna y altura normativa (cruce del gemelo)</t>
        </is>
      </c>
      <c r="C68" s="10" t="inlineStr">
        <is>
          <t>Área Metropolitana del Valle de Aburrá · Portal IDEM (catastro del Distrito) · POT</t>
        </is>
      </c>
      <c r="D68" s="10" t="inlineStr">
        <is>
          <t>Entidad pública</t>
        </is>
      </c>
      <c r="E68" s="10" t="inlineStr">
        <is>
          <t>https://portalidem.metropol.gov.co/server/rest/services/DISTRITO_MEDELLIN_CATASTRO/MapServer/8</t>
        </is>
      </c>
      <c r="F68" s="10" t="inlineStr">
        <is>
          <t>GeoJSON</t>
        </is>
      </c>
      <c r="G68" s="10" t="inlineStr">
        <is>
          <t>API sin llave</t>
        </is>
      </c>
      <c r="H68" s="10" t="inlineStr">
        <is>
          <t>Sin verificar: la fuente no respondió al consultarla (No se pudo descargar https://portalidem.metropol.gov.co/server/rest/services/DISTRITO_MEDELLIN_CATASTRO/MapServer?f=json: HTTP Error 502: Ba)</t>
        </is>
      </c>
      <c r="I68" s="10" t="inlineStr">
        <is>
          <t>No</t>
        </is>
      </c>
      <c r="J68" s="10" t="inlineStr">
        <is>
          <t>Medellín, 16 comunas urbanas</t>
        </is>
      </c>
      <c r="K68" s="10" t="inlineStr">
        <is>
          <t>Base catastral vigente</t>
        </is>
      </c>
      <c r="L68" s="10" t="inlineStr">
        <is>
          <t>Anual</t>
        </is>
      </c>
      <c r="M68" s="10" t="inlineStr">
        <is>
          <t>2026-10-01</t>
        </is>
      </c>
      <c r="N68" s="10" t="inlineStr">
        <is>
          <t>Integrada al lago</t>
        </is>
      </c>
      <c r="O68" s="10" t="inlineStr">
        <is>
          <t>Portal IDEM del Área Metropolitana (ArcGIS REST), explorado con ayuda de IA</t>
        </is>
      </c>
      <c r="P68" s="10" t="inlineStr">
        <is>
          <t>Cruce propio del gemelo digital entre construcciones del catastro y altura normativa del POT. · Entrega 2: Abierto. Licencia leída el 2026-10-24 en https://portalidem.metropol.gov.co/server/rest/services/DISTRITO_MEDELLIN_CATASTRO/MapServer/8.</t>
        </is>
      </c>
    </row>
    <row r="69">
      <c r="A69" s="10" t="inlineStr">
        <is>
          <t>F065</t>
        </is>
      </c>
      <c r="B69" s="10" t="inlineStr">
        <is>
          <t>Víctimas en incidentes viales (georreferenciadas)</t>
        </is>
      </c>
      <c r="C69" s="10" t="inlineStr">
        <is>
          <t>Secretaría de Movilidad · Alcaldía de Medellín (MEData)</t>
        </is>
      </c>
      <c r="D69" s="10" t="inlineStr">
        <is>
          <t>Entidad pública</t>
        </is>
      </c>
      <c r="E69" s="10" t="inlineStr">
        <is>
          <t>http://medata.gov.co/sites/default/files/distribution/1-023-25-000360/Mede_Victimas_inci.csv</t>
        </is>
      </c>
      <c r="F69" s="10" t="inlineStr">
        <is>
          <t>CSV</t>
        </is>
      </c>
      <c r="G69" s="10" t="inlineStr">
        <is>
          <t>Descarga directa</t>
        </is>
      </c>
      <c r="H69" s="10" t="inlineStr">
        <is>
          <t>Atribución 4.0 Internacional (CC BY 4.0)</t>
        </is>
      </c>
      <c r="I69" s="10" t="inlineStr">
        <is>
          <t>Personas identificables</t>
        </is>
      </c>
      <c r="J69" s="10" t="inlineStr">
        <is>
          <t>Medellín, siniestros georreferenciados</t>
        </is>
      </c>
      <c r="K69" s="10" t="inlineStr">
        <is>
          <t>2019–2021</t>
        </is>
      </c>
      <c r="L69" s="10" t="inlineStr">
        <is>
          <t>Única vez</t>
        </is>
      </c>
      <c r="M69" s="10" t="inlineStr">
        <is>
          <t>2026-10-01</t>
        </is>
      </c>
      <c r="N69" s="10" t="inlineStr">
        <is>
          <t>Integrada al lago</t>
        </is>
      </c>
      <c r="O69" s="10" t="inlineStr">
        <is>
          <t>Portal MEData de la Alcaldía de Medellín, buscado por tema con ayuda de IA</t>
        </is>
      </c>
      <c r="P69" s="10" t="inlineStr">
        <is>
          <t>Solo 2019–2021; cada fila es una víctima anónima con edad, sexo y tipo de usuario. · Entrega 2: Abierto, solo agregados: el crudo queda fuera de git; el lago guarda conteos por comuna y el mapa de calor usa celdas de ~110 m con el año, sin sexo, edad, dirección ni gravedad. Licencia leída el 2026-10-24 en https://medata.app.medellin.gov.co/dataset/1-023-25-000360.</t>
        </is>
      </c>
    </row>
    <row r="70">
      <c r="A70" s="10" t="inlineStr">
        <is>
          <t>F066</t>
        </is>
      </c>
      <c r="B70" s="10" t="inlineStr">
        <is>
          <t>Aforos vehiculares por intersección</t>
        </is>
      </c>
      <c r="C70" s="10" t="inlineStr">
        <is>
          <t>Secretaría de Movilidad · Alcaldía de Medellín (MEData)</t>
        </is>
      </c>
      <c r="D70" s="10" t="inlineStr">
        <is>
          <t>Entidad pública</t>
        </is>
      </c>
      <c r="E70" s="10" t="inlineStr">
        <is>
          <t>http://medata.gov.co/sites/default/files/distribution/1-023-25-000301/Aforos_Vehiculares.csv</t>
        </is>
      </c>
      <c r="F70" s="10" t="inlineStr">
        <is>
          <t>CSV</t>
        </is>
      </c>
      <c r="G70" s="10" t="inlineStr">
        <is>
          <t>Descarga directa</t>
        </is>
      </c>
      <c r="H70" s="10" t="inlineStr">
        <is>
          <t>Atribución 4.0 Internacional (CC BY 4.0)</t>
        </is>
      </c>
      <c r="I70" s="10" t="inlineStr">
        <is>
          <t>No</t>
        </is>
      </c>
      <c r="J70" s="10" t="inlineStr">
        <is>
          <t>Medellín, intersecciones</t>
        </is>
      </c>
      <c r="K70" s="10" t="inlineStr">
        <is>
          <t>2017–2019</t>
        </is>
      </c>
      <c r="L70" s="10" t="inlineStr">
        <is>
          <t>Única vez</t>
        </is>
      </c>
      <c r="M70" s="10" t="inlineStr">
        <is>
          <t>2026-10-01</t>
        </is>
      </c>
      <c r="N70" s="10" t="inlineStr">
        <is>
          <t>Integrada al lago</t>
        </is>
      </c>
      <c r="O70" s="10" t="inlineStr">
        <is>
          <t>Portal MEData de la Alcaldía de Medellín, buscado por tema con ayuda de IA</t>
        </is>
      </c>
      <c r="P70" s="10" t="inlineStr">
        <is>
          <t>Conteos de 2017–2019. · Entrega 2: Abierto. Licencia leída el 2026-10-24 en https://medata.app.medellin.gov.co/dataset/1-023-25-000301.</t>
        </is>
      </c>
    </row>
    <row r="71">
      <c r="A71" s="10" t="inlineStr">
        <is>
          <t>F067</t>
        </is>
      </c>
      <c r="B71" s="10" t="inlineStr">
        <is>
          <t>POT (Acuerdo 48 de 2014): riesgos, tratamientos, suelo de protección y equipamientos</t>
        </is>
      </c>
      <c r="C71" s="10" t="inlineStr">
        <is>
          <t>Área Metropolitana del Valle de Aburrá · Portal IDEM</t>
        </is>
      </c>
      <c r="D71" s="10" t="inlineStr">
        <is>
          <t>Entidad pública</t>
        </is>
      </c>
      <c r="E71" s="10" t="inlineStr">
        <is>
          <t>https://portalidem.metropol.gov.co/server/rest/services/DISTRITO_MEDELLIN_POT/MapServer</t>
        </is>
      </c>
      <c r="F71" s="10" t="inlineStr">
        <is>
          <t>GeoJSON</t>
        </is>
      </c>
      <c r="G71" s="10" t="inlineStr">
        <is>
          <t>API sin llave</t>
        </is>
      </c>
      <c r="H71" s="10" t="inlineStr">
        <is>
          <t>Sin verificar: la fuente no respondió al consultarla (No se pudo descargar https://portalidem.metropol.gov.co/server/rest/services/DISTRITO_MEDELLIN_POT/MapServer?f=json: HTTP Error 502: Bad Gat)</t>
        </is>
      </c>
      <c r="I71" s="10" t="inlineStr">
        <is>
          <t>No</t>
        </is>
      </c>
      <c r="J71" s="10" t="inlineStr">
        <is>
          <t>Medellín</t>
        </is>
      </c>
      <c r="K71" s="10" t="inlineStr">
        <is>
          <t>POT vigente (Acuerdo 48 de 2014)</t>
        </is>
      </c>
      <c r="L71" s="10" t="inlineStr">
        <is>
          <t>Única vez</t>
        </is>
      </c>
      <c r="M71" s="10" t="inlineStr">
        <is>
          <t>2026-10-01</t>
        </is>
      </c>
      <c r="N71" s="10" t="inlineStr">
        <is>
          <t>Integrada al lago</t>
        </is>
      </c>
      <c r="O71" s="10" t="inlineStr">
        <is>
          <t>Portal IDEM del Área Metropolitana (ArcGIS REST), explorado con ayuda de IA</t>
        </is>
      </c>
      <c r="P71" s="10" t="inlineStr">
        <is>
          <t>POT de 2014 (Acuerdo 48). · Entrega 2: Abierto. Licencia leída el 2026-10-24 en https://portalidem.metropol.gov.co/server/rest/services/DISTRITO_MEDELLIN_POT/MapServer.</t>
        </is>
      </c>
    </row>
    <row r="72">
      <c r="A72" s="10" t="inlineStr">
        <is>
          <t>F068</t>
        </is>
      </c>
      <c r="B72" s="10" t="inlineStr">
        <is>
          <t>Estaciones y líneas del Sistema Metro</t>
        </is>
      </c>
      <c r="C72" s="10" t="inlineStr">
        <is>
          <t>Metro de Medellín · datos abiertos</t>
        </is>
      </c>
      <c r="D72" s="10" t="inlineStr">
        <is>
          <t>Entidad pública</t>
        </is>
      </c>
      <c r="E72" s="10" t="inlineStr">
        <is>
          <t>https://datosabiertos-metrodemedellin.opendata.arcgis.com/</t>
        </is>
      </c>
      <c r="F72" s="10" t="inlineStr">
        <is>
          <t>JSON</t>
        </is>
      </c>
      <c r="G72" s="10" t="inlineStr">
        <is>
          <t>API sin llave</t>
        </is>
      </c>
      <c r="H72" s="10" t="inlineStr">
        <is>
          <t>no declara</t>
        </is>
      </c>
      <c r="I72" s="10" t="inlineStr">
        <is>
          <t>No</t>
        </is>
      </c>
      <c r="J72" s="10" t="inlineStr">
        <is>
          <t>Valle de Aburrá</t>
        </is>
      </c>
      <c r="K72" s="10" t="inlineStr">
        <is>
          <t>Red vigente</t>
        </is>
      </c>
      <c r="L72" s="10" t="inlineStr">
        <is>
          <t>No se sabe</t>
        </is>
      </c>
      <c r="M72" s="10" t="inlineStr">
        <is>
          <t>2026-10-01</t>
        </is>
      </c>
      <c r="N72" s="10" t="inlineStr">
        <is>
          <t>Integrada al lago</t>
        </is>
      </c>
      <c r="O72" s="10" t="inlineStr">
        <is>
          <t>Portal de datos abiertos del Metro (ArcGIS), indicado por la IA</t>
        </is>
      </c>
      <c r="P72" s="10" t="inlineStr">
        <is>
          <t>Estaciones y líneas del sistema. · Entrega 2: Abierto. Licencia leída el 2026-10-24 en https://datosabiertos-metrodemedellin.opendata.arcgis.com/.</t>
        </is>
      </c>
    </row>
    <row r="73">
      <c r="A73" s="10" t="inlineStr">
        <is>
          <t>F069</t>
        </is>
      </c>
      <c r="B73" s="10" t="inlineStr">
        <is>
          <t>Estaciones EnCicla y ciclorrutas</t>
        </is>
      </c>
      <c r="C73" s="10" t="inlineStr">
        <is>
          <t>Área Metropolitana del Valle de Aburrá · Portal IDEM</t>
        </is>
      </c>
      <c r="D73" s="10" t="inlineStr">
        <is>
          <t>Entidad pública</t>
        </is>
      </c>
      <c r="E73" s="10" t="inlineStr">
        <is>
          <t>https://portalidem.metropol.gov.co/server/rest/services/Hosted/Ciclorrutas/FeatureServer/0</t>
        </is>
      </c>
      <c r="F73" s="10" t="inlineStr">
        <is>
          <t>GeoJSON</t>
        </is>
      </c>
      <c r="G73" s="10" t="inlineStr">
        <is>
          <t>API sin llave</t>
        </is>
      </c>
      <c r="H73" s="10" t="inlineStr">
        <is>
          <t>Sin verificar: la fuente no respondió al consultarla (No se pudo descargar https://portalidem.metropol.gov.co/server/rest/services/Hosted/Ciclorrutas/FeatureServer?f=json: HTTP Error 502: Bad Ga)</t>
        </is>
      </c>
      <c r="I73" s="10" t="inlineStr">
        <is>
          <t>No</t>
        </is>
      </c>
      <c r="J73" s="10" t="inlineStr">
        <is>
          <t>Valle de Aburrá (se recorta a Medellín)</t>
        </is>
      </c>
      <c r="K73" s="10" t="inlineStr">
        <is>
          <t>Red vigente</t>
        </is>
      </c>
      <c r="L73" s="10" t="inlineStr">
        <is>
          <t>No se sabe</t>
        </is>
      </c>
      <c r="M73" s="10" t="inlineStr">
        <is>
          <t>2026-10-01</t>
        </is>
      </c>
      <c r="N73" s="10" t="inlineStr">
        <is>
          <t>Integrada al lago</t>
        </is>
      </c>
      <c r="O73" s="10" t="inlineStr">
        <is>
          <t>Portal IDEM del Área Metropolitana (ArcGIS REST), explorado con ayuda de IA</t>
        </is>
      </c>
      <c r="P73" s="10" t="inlineStr">
        <is>
          <t>Estaciones EnCicla y ciclorrutas. · Entrega 2: Abierto. Licencia leída el 2026-10-24 en https://portalidem.metropol.gov.co/server/rest/services/Hosted/Ciclorrutas/FeatureServer/0.</t>
        </is>
      </c>
    </row>
    <row r="74">
      <c r="A74" s="10" t="inlineStr">
        <is>
          <t>F070</t>
        </is>
      </c>
      <c r="B74" s="10" t="inlineStr">
        <is>
          <t>Amenazas y zonas de riesgo por movimientos en masa, inundaciones y avenidas torrenciales</t>
        </is>
      </c>
      <c r="C74" s="10" t="inlineStr">
        <is>
          <t>Alcaldía de Medellín · capas protocolizadas del POT (Acuerdo 48 de 2014)</t>
        </is>
      </c>
      <c r="D74" s="10" t="inlineStr">
        <is>
          <t>Entidad pública</t>
        </is>
      </c>
      <c r="E74" s="10" t="inlineStr">
        <is>
          <t>https://www.medellin.gov.co/servidormapas/rest/services/ambiente_dllo_sost/VC_Gestion_Riesgo/MapServer</t>
        </is>
      </c>
      <c r="F74" s="10" t="inlineStr">
        <is>
          <t>GeoJSON</t>
        </is>
      </c>
      <c r="G74" s="10" t="inlineStr">
        <is>
          <t>API sin llave</t>
        </is>
      </c>
      <c r="H74" s="10" t="inlineStr">
        <is>
          <t>no declara</t>
        </is>
      </c>
      <c r="I74" s="10" t="inlineStr">
        <is>
          <t>No</t>
        </is>
      </c>
      <c r="J74" s="10" t="inlineStr">
        <is>
          <t>Medellín</t>
        </is>
      </c>
      <c r="K74" s="10" t="inlineStr">
        <is>
          <t>POT (Acuerdo 48 de 2014), capas actualizadas al 17 de julio de 2026</t>
        </is>
      </c>
      <c r="L74" s="10" t="inlineStr">
        <is>
          <t>No se sabe</t>
        </is>
      </c>
      <c r="M74" s="10" t="inlineStr">
        <is>
          <t>2026-10-24</t>
        </is>
      </c>
      <c r="N74" s="10" t="inlineStr">
        <is>
          <t>Integrada al lago</t>
        </is>
      </c>
      <c r="O74" s="10" t="inlineStr">
        <is>
          <t>Servidor de mapas de la Alcaldía (ArcGIS REST), explorado por carpetas con ayuda de IA</t>
        </is>
      </c>
      <c r="P74" s="10" t="inlineStr">
        <is>
          <t>Capas protocolizadas del POT; la actualización más reciente es del 17 de julio de 2026. · Entrega 2: Abierto. Licencia leída el 2026-10-24 en https://www.medellin.gov.co/servidormapas/rest/services/ambiente_dllo_sost/VC_Gestion_Riesgo/MapServer. El servicio ArcGIS tiene el campo copyrightText vacío.</t>
        </is>
      </c>
    </row>
    <row r="75">
      <c r="A75" s="10" t="inlineStr">
        <is>
          <t>F071</t>
        </is>
      </c>
      <c r="B75" s="10" t="inlineStr">
        <is>
          <t>Usos generales del suelo urbano</t>
        </is>
      </c>
      <c r="C75" s="10" t="inlineStr">
        <is>
          <t>Departamento Administrativo de Planeación · Alcaldía de Medellín</t>
        </is>
      </c>
      <c r="D75" s="10" t="inlineStr">
        <is>
          <t>Entidad pública</t>
        </is>
      </c>
      <c r="E75" s="10" t="inlineStr">
        <is>
          <t>https://www.medellin.gov.co/servidormapas/rest/services/ordenamiento_ter/VM_POT48_Tematicos/MapServer/5</t>
        </is>
      </c>
      <c r="F75" s="10" t="inlineStr">
        <is>
          <t>GeoJSON</t>
        </is>
      </c>
      <c r="G75" s="10" t="inlineStr">
        <is>
          <t>API sin llave</t>
        </is>
      </c>
      <c r="H75" s="10" t="inlineStr">
        <is>
          <t>no declara</t>
        </is>
      </c>
      <c r="I75" s="10" t="inlineStr">
        <is>
          <t>No</t>
        </is>
      </c>
      <c r="J75" s="10" t="inlineStr">
        <is>
          <t>Medellín, suelo urbano</t>
        </is>
      </c>
      <c r="K75" s="10" t="inlineStr">
        <is>
          <t>POT (Acuerdo 48 de 2014), adoptado el 17 de diciembre de 2014</t>
        </is>
      </c>
      <c r="L75" s="10" t="inlineStr">
        <is>
          <t>Única vez</t>
        </is>
      </c>
      <c r="M75" s="10" t="inlineStr">
        <is>
          <t>2026-10-24</t>
        </is>
      </c>
      <c r="N75" s="10" t="inlineStr">
        <is>
          <t>Integrada al lago</t>
        </is>
      </c>
      <c r="O75" s="10" t="inlineStr">
        <is>
          <t>Servidor de mapas de la Alcaldía (ArcGIS REST), explorado por carpetas con ayuda de IA</t>
        </is>
      </c>
      <c r="P75" s="10" t="inlineStr">
        <is>
          <t>POT de 2014. · Entrega 2: Abierto. Licencia leída el 2026-10-24 en https://www.medellin.gov.co/servidormapas/rest/services/ordenamiento_ter/VM_POT48_Tematicos/MapServer. El servicio solo trae un crédito (copyrightText): «Departamento Administrativo de Planeación -Subdirección Planeacion Territorial y Estratégica de Ciudad- Subdirección de Información Seguimiento y Evaluación.».</t>
        </is>
      </c>
    </row>
    <row r="76">
      <c r="A76" s="10" t="inlineStr">
        <is>
          <t>F072</t>
        </is>
      </c>
      <c r="B76" s="10" t="inlineStr">
        <is>
          <t>Tratamientos urbanos y altura normativa</t>
        </is>
      </c>
      <c r="C76" s="10" t="inlineStr">
        <is>
          <t>Departamento Administrativo de Planeación · Alcaldía de Medellín</t>
        </is>
      </c>
      <c r="D76" s="10" t="inlineStr">
        <is>
          <t>Entidad pública</t>
        </is>
      </c>
      <c r="E76" s="10" t="inlineStr">
        <is>
          <t>https://www.medellin.gov.co/servidormapas/rest/services/ordenamiento_ter/VM_22_Tratamientos_Urbanos/MapServer/0</t>
        </is>
      </c>
      <c r="F76" s="10" t="inlineStr">
        <is>
          <t>GeoJSON</t>
        </is>
      </c>
      <c r="G76" s="10" t="inlineStr">
        <is>
          <t>API sin llave</t>
        </is>
      </c>
      <c r="H76" s="10" t="inlineStr">
        <is>
          <t>no declara</t>
        </is>
      </c>
      <c r="I76" s="10" t="inlineStr">
        <is>
          <t>No</t>
        </is>
      </c>
      <c r="J76" s="10" t="inlineStr">
        <is>
          <t>Medellín, suelo urbano</t>
        </is>
      </c>
      <c r="K76" s="10" t="inlineStr">
        <is>
          <t>POT (Acuerdo 48 de 2014), adoptado el 17 de diciembre de 2014</t>
        </is>
      </c>
      <c r="L76" s="10" t="inlineStr">
        <is>
          <t>Única vez</t>
        </is>
      </c>
      <c r="M76" s="10" t="inlineStr">
        <is>
          <t>2026-10-24</t>
        </is>
      </c>
      <c r="N76" s="10" t="inlineStr">
        <is>
          <t>Integrada al lago</t>
        </is>
      </c>
      <c r="O76" s="10" t="inlineStr">
        <is>
          <t>Servidor de mapas de la Alcaldía (ArcGIS REST), explorado por carpetas con ayuda de IA</t>
        </is>
      </c>
      <c r="P76" s="10" t="inlineStr">
        <is>
          <t>POT de 2014. · Entrega 2: Abierto. Licencia leída el 2026-10-24 en https://www.medellin.gov.co/servidormapas/rest/services/ordenamiento_ter/VM_22_Tratamientos_Urbanos/MapServer. El servicio solo trae un crédito (copyrightText): «Alcaldía de Medellín - Departamento Administrativo de Planeación - Subdirección de Planeación Territorial y Estratégica de Ciudad - Unidad de Planificación Territorial.».</t>
        </is>
      </c>
    </row>
    <row r="77">
      <c r="A77" s="10" t="inlineStr">
        <is>
          <t>F073</t>
        </is>
      </c>
      <c r="B77" s="10" t="inlineStr">
        <is>
          <t>Capa "POT 2025" (mapa provisional de la revisión de mediano plazo)</t>
        </is>
      </c>
      <c r="C77" s="10" t="inlineStr">
        <is>
          <t>Departamento Administrativo de Planeación · Alcaldía de Medellín</t>
        </is>
      </c>
      <c r="D77" s="10" t="inlineStr">
        <is>
          <t>Entidad pública</t>
        </is>
      </c>
      <c r="E77" s="10" t="inlineStr">
        <is>
          <t>https://www.medellin.gov.co/servidormapas/rest/services/ordenamiento_ter/VM_34_POT_2025/MapServer</t>
        </is>
      </c>
      <c r="F77" s="10" t="inlineStr">
        <is>
          <t>JSON</t>
        </is>
      </c>
      <c r="G77" s="10" t="inlineStr">
        <is>
          <t>API sin llave</t>
        </is>
      </c>
      <c r="H77" s="10" t="inlineStr">
        <is>
          <t>no declara</t>
        </is>
      </c>
      <c r="I77" s="10" t="inlineStr">
        <is>
          <t>No</t>
        </is>
      </c>
      <c r="J77" s="10" t="inlineStr">
        <is>
          <t>Medellín</t>
        </is>
      </c>
      <c r="K77" s="10" t="inlineStr">
        <is>
          <t>Consultado el 24 de octubre de 2026</t>
        </is>
      </c>
      <c r="L77" s="10" t="inlineStr">
        <is>
          <t>No se sabe</t>
        </is>
      </c>
      <c r="M77" s="10" t="inlineStr">
        <is>
          <t>2026-10-24</t>
        </is>
      </c>
      <c r="N77" s="10" t="inlineStr">
        <is>
          <t>Integrada al lago</t>
        </is>
      </c>
      <c r="O77" s="10" t="inlineStr">
        <is>
          <t>Servidor de mapas de la Alcaldía (ArcGIS REST), explorado por carpetas con ayuda de IA</t>
        </is>
      </c>
      <c r="P77" s="10" t="inlineStr">
        <is>
          <t>Mapa provisional de la revisión del POT; sin carácter oficial, por eso queda «declarado». · Entrega 2: Abierto. Licencia leída el 2026-10-24 en https://www.medellin.gov.co/servidormapas/rest/services/ordenamiento_ter/VM_34_POT_2025/MapServer. El servicio solo trae un crédito (copyrightText): «Alcaldía de Medellín - Departamento Administrativo de Planeación - Subdirección de Planeación Territorial y Estratégica de Ciudad - Unidad de Planificación Territorial.».</t>
        </is>
      </c>
    </row>
    <row r="78">
      <c r="A78" s="10" t="inlineStr">
        <is>
          <t>F074</t>
        </is>
      </c>
      <c r="B78" s="10" t="inlineStr">
        <is>
          <t>Bienes de interés cultural (BIC)</t>
        </is>
      </c>
      <c r="C78" s="10" t="inlineStr">
        <is>
          <t>Secretaría de Cultura Ciudadana · Alcaldía de Medellín</t>
        </is>
      </c>
      <c r="D78" s="10" t="inlineStr">
        <is>
          <t>Entidad pública</t>
        </is>
      </c>
      <c r="E78" s="10" t="inlineStr">
        <is>
          <t>https://www.medellin.gov.co/servidormapas/rest/services/cultura/VC_BIC_Patrimonial/MapServer/0</t>
        </is>
      </c>
      <c r="F78" s="10" t="inlineStr">
        <is>
          <t>GeoJSON</t>
        </is>
      </c>
      <c r="G78" s="10" t="inlineStr">
        <is>
          <t>API sin llave</t>
        </is>
      </c>
      <c r="H78" s="10" t="inlineStr">
        <is>
          <t>no declara</t>
        </is>
      </c>
      <c r="I78" s="10" t="inlineStr">
        <is>
          <t>No</t>
        </is>
      </c>
      <c r="J78" s="10" t="inlineStr">
        <is>
          <t>Medellín</t>
        </is>
      </c>
      <c r="K78" s="10" t="inlineStr">
        <is>
          <t>Listado del POT (Acuerdo 48 de 2014), actualizado al 17 de diciembre de 2014</t>
        </is>
      </c>
      <c r="L78" s="10" t="inlineStr">
        <is>
          <t>Única vez</t>
        </is>
      </c>
      <c r="M78" s="10" t="inlineStr">
        <is>
          <t>2026-10-24</t>
        </is>
      </c>
      <c r="N78" s="10" t="inlineStr">
        <is>
          <t>Integrada al lago</t>
        </is>
      </c>
      <c r="O78" s="10" t="inlineStr">
        <is>
          <t>Servidor de mapas de la Alcaldía (ArcGIS REST), explorado por carpetas con ayuda de IA</t>
        </is>
      </c>
      <c r="P78" s="10" t="inlineStr">
        <is>
          <t>Listado del POT de 2014. · Entrega 2: Abierto. Licencia leída el 2026-10-24 en https://www.medellin.gov.co/servidormapas/rest/services/cultura/VC_BIC_Patrimonial/MapServer. El servicio solo trae un crédito (copyrightText): «Grupo Geografico».</t>
        </is>
      </c>
    </row>
    <row r="79">
      <c r="A79" s="10" t="inlineStr">
        <is>
          <t>F075</t>
        </is>
      </c>
      <c r="B79" s="10" t="inlineStr">
        <is>
          <t>Red de Bibliotecas de Medellín</t>
        </is>
      </c>
      <c r="C79" s="10" t="inlineStr">
        <is>
          <t>Secretaría de Cultura Ciudadana · Alcaldía de Medellín</t>
        </is>
      </c>
      <c r="D79" s="10" t="inlineStr">
        <is>
          <t>Entidad pública</t>
        </is>
      </c>
      <c r="E79" s="10" t="inlineStr">
        <is>
          <t>https://www.medellin.gov.co/servidormapas/rest/services/cultura/VM_Red_Bibliotecas/MapServer/0</t>
        </is>
      </c>
      <c r="F79" s="10" t="inlineStr">
        <is>
          <t>GeoJSON</t>
        </is>
      </c>
      <c r="G79" s="10" t="inlineStr">
        <is>
          <t>API sin llave</t>
        </is>
      </c>
      <c r="H79" s="10" t="inlineStr">
        <is>
          <t>no declara</t>
        </is>
      </c>
      <c r="I79" s="10" t="inlineStr">
        <is>
          <t>No</t>
        </is>
      </c>
      <c r="J79" s="10" t="inlineStr">
        <is>
          <t>Medellín</t>
        </is>
      </c>
      <c r="K79" s="10" t="inlineStr">
        <is>
          <t>Red vigente</t>
        </is>
      </c>
      <c r="L79" s="10" t="inlineStr">
        <is>
          <t>No se sabe</t>
        </is>
      </c>
      <c r="M79" s="10" t="inlineStr">
        <is>
          <t>2026-10-24</t>
        </is>
      </c>
      <c r="N79" s="10" t="inlineStr">
        <is>
          <t>Integrada al lago</t>
        </is>
      </c>
      <c r="O79" s="10" t="inlineStr">
        <is>
          <t>Servidor de mapas de la Alcaldía (ArcGIS REST), explorado por carpetas con ayuda de IA</t>
        </is>
      </c>
      <c r="P79" s="10" t="inlineStr">
        <is>
          <t>Puntos de la Red de Bibliotecas. · Entrega 2: Abierto. Licencia leída el 2026-10-24 en https://www.medellin.gov.co/servidormapas/rest/services/cultura/VM_Red_Bibliotecas/MapServer. El servicio solo trae un crédito (copyrightText): «Red de Bibliotecas- Fundación EPM».</t>
        </is>
      </c>
    </row>
    <row r="80">
      <c r="A80" s="10" t="inlineStr">
        <is>
          <t>F076</t>
        </is>
      </c>
      <c r="B80" s="10" t="inlineStr">
        <is>
          <t>Sedes educativas</t>
        </is>
      </c>
      <c r="C80" s="10" t="inlineStr">
        <is>
          <t>Secretaría de Educación · Alcaldía de Medellín</t>
        </is>
      </c>
      <c r="D80" s="10" t="inlineStr">
        <is>
          <t>Entidad pública</t>
        </is>
      </c>
      <c r="E80" s="10" t="inlineStr">
        <is>
          <t>https://www.medellin.gov.co/servidormapas/rest/services/educacion/VC_Sedes/MapServer/0</t>
        </is>
      </c>
      <c r="F80" s="10" t="inlineStr">
        <is>
          <t>GeoJSON</t>
        </is>
      </c>
      <c r="G80" s="10" t="inlineStr">
        <is>
          <t>API sin llave</t>
        </is>
      </c>
      <c r="H80" s="10" t="inlineStr">
        <is>
          <t>no declara</t>
        </is>
      </c>
      <c r="I80" s="10" t="inlineStr">
        <is>
          <t>No</t>
        </is>
      </c>
      <c r="J80" s="10" t="inlineStr">
        <is>
          <t>Medellín</t>
        </is>
      </c>
      <c r="K80" s="10" t="inlineStr">
        <is>
          <t>Directorio 2024</t>
        </is>
      </c>
      <c r="L80" s="10" t="inlineStr">
        <is>
          <t>Anual</t>
        </is>
      </c>
      <c r="M80" s="10" t="inlineStr">
        <is>
          <t>2026-10-24</t>
        </is>
      </c>
      <c r="N80" s="10" t="inlineStr">
        <is>
          <t>Integrada al lago</t>
        </is>
      </c>
      <c r="O80" s="10" t="inlineStr">
        <is>
          <t>Servidor de mapas de la Alcaldía (ArcGIS REST), explorado por carpetas con ayuda de IA</t>
        </is>
      </c>
      <c r="P80" s="10" t="inlineStr">
        <is>
          <t>Directorio 2024. · Entrega 2: Abierto. Licencia leída el 2026-10-24 en https://www.medellin.gov.co/servidormapas/rest/services/educacion/VC_Sedes/MapServer. El servicio solo trae un crédito (copyrightText): «Secretaria de Educación».</t>
        </is>
      </c>
    </row>
    <row r="81">
      <c r="A81" s="10" t="inlineStr">
        <is>
          <t>F077</t>
        </is>
      </c>
      <c r="B81" s="10" t="inlineStr">
        <is>
          <t>Equipamientos del POT</t>
        </is>
      </c>
      <c r="C81" s="10" t="inlineStr">
        <is>
          <t>Área Metropolitana del Valle de Aburrá · Portal IDEM (POT de Medellín)</t>
        </is>
      </c>
      <c r="D81" s="10" t="inlineStr">
        <is>
          <t>Entidad pública</t>
        </is>
      </c>
      <c r="E81" s="10" t="inlineStr">
        <is>
          <t>https://portalidem.metropol.gov.co/server/rest/services/DISTRITO_MEDELLIN_POT/MapServer/7</t>
        </is>
      </c>
      <c r="F81" s="10" t="inlineStr">
        <is>
          <t>GeoJSON</t>
        </is>
      </c>
      <c r="G81" s="10" t="inlineStr">
        <is>
          <t>API sin llave</t>
        </is>
      </c>
      <c r="H81" s="10" t="inlineStr">
        <is>
          <t>Sin verificar: la fuente no respondió al consultarla (No se pudo descargar https://portalidem.metropol.gov.co/server/rest/services/DISTRITO_MEDELLIN_POT/MapServer?f=json: HTTP Error 502: Bad Gat)</t>
        </is>
      </c>
      <c r="I81" s="10" t="inlineStr">
        <is>
          <t>No</t>
        </is>
      </c>
      <c r="J81" s="10" t="inlineStr">
        <is>
          <t>Medellín</t>
        </is>
      </c>
      <c r="K81" s="10" t="inlineStr">
        <is>
          <t>POT (Acuerdo 48 de 2014), capa vigente</t>
        </is>
      </c>
      <c r="L81" s="10" t="inlineStr">
        <is>
          <t>Única vez</t>
        </is>
      </c>
      <c r="M81" s="10" t="inlineStr">
        <is>
          <t>2026-09-30</t>
        </is>
      </c>
      <c r="N81" s="10" t="inlineStr">
        <is>
          <t>Integrada al lago</t>
        </is>
      </c>
      <c r="O81" s="10" t="inlineStr">
        <is>
          <t>Portal IDEM del Área Metropolitana (ArcGIS REST), explorado con ayuda de IA</t>
        </is>
      </c>
      <c r="P81" s="10" t="inlineStr">
        <is>
          <t>POT de 2014. · Entrega 2: Abierto. Licencia leída el 2026-10-24 en https://portalidem.metropol.gov.co/server/rest/services/DISTRITO_MEDELLIN_POT/MapServer/7.</t>
        </is>
      </c>
    </row>
    <row r="82">
      <c r="A82" s="10" t="inlineStr">
        <is>
          <t>F078</t>
        </is>
      </c>
      <c r="B82" s="10" t="inlineStr">
        <is>
          <t>Espacio verde urbano (EVU) del Sistema Árbol Urbano</t>
        </is>
      </c>
      <c r="C82" s="10" t="inlineStr">
        <is>
          <t>Área Metropolitana del Valle de Aburrá y Universidad Nacional (Alcaldía de Medellín)</t>
        </is>
      </c>
      <c r="D82" s="10" t="inlineStr">
        <is>
          <t>Entidad pública</t>
        </is>
      </c>
      <c r="E82" s="10" t="inlineStr">
        <is>
          <t>https://www.medellin.gov.co/servidormapas/rest/services/ambiente_dllo_sost/VA_SistemaArbolUrbano_Base/MapServer/5</t>
        </is>
      </c>
      <c r="F82" s="10" t="inlineStr">
        <is>
          <t>GeoJSON</t>
        </is>
      </c>
      <c r="G82" s="10" t="inlineStr">
        <is>
          <t>API sin llave</t>
        </is>
      </c>
      <c r="H82" s="10" t="inlineStr">
        <is>
          <t>no declara</t>
        </is>
      </c>
      <c r="I82" s="10" t="inlineStr">
        <is>
          <t>No</t>
        </is>
      </c>
      <c r="J82" s="10" t="inlineStr">
        <is>
          <t>Medellín, suelo urbano</t>
        </is>
      </c>
      <c r="K82" s="10" t="inlineStr">
        <is>
          <t>Inventario de 2019 (ortofotos de 2016 a 2019) · Inventario de 2019 (ortofotos de 2016 a 2019); población 2019</t>
        </is>
      </c>
      <c r="L82" s="10" t="inlineStr">
        <is>
          <t>Única vez</t>
        </is>
      </c>
      <c r="M82" s="10" t="inlineStr">
        <is>
          <t>2026-10-24</t>
        </is>
      </c>
      <c r="N82" s="10" t="inlineStr">
        <is>
          <t>Integrada al lago</t>
        </is>
      </c>
      <c r="O82" s="10" t="inlineStr">
        <is>
          <t>Servidor de mapas de la Alcaldía (ArcGIS REST), explorado por carpetas con ayuda de IA</t>
        </is>
      </c>
      <c r="P82" s="10" t="inlineStr">
        <is>
          <t>Inventario de 2019 hecho con ortofotos de 2016–2019 (Sistema Árbol Urbano). · Entrega 2: Abierto. Licencia leída el 2026-10-24 en https://www.medellin.gov.co/servidormapas/rest/services/ambiente_dllo_sost/VA_SistemaArbolUrbano_Base/MapServer. El servicio solo trae un crédito (copyrightText): «ÁREA METROPOLITANA DEL VALLE DE ABURRÁ &amp; UNIVERSIDAD NACIONAL DE COLOMBIA, SEDE MEDELLÍN, 2019. ANÁLISIS DE LA CONECTIVIDAD ECOLÓGICA FUNCIONAL Y ESTRUCTURAL EN EL ÁREA METROPOLITANA DEL VALLE DE ABURRÁ. CONTRATO 1344 DE 2018.».</t>
        </is>
      </c>
    </row>
    <row r="83">
      <c r="A83" s="10" t="inlineStr">
        <is>
          <t>F079</t>
        </is>
      </c>
      <c r="B83" s="10" t="inlineStr">
        <is>
          <t>Inventario de espacio público de esparcimiento y encuentro (espacio público efectivo)</t>
        </is>
      </c>
      <c r="C83" s="10" t="inlineStr">
        <is>
          <t>Departamento Administrativo de Planeación · Alcaldía de Medellín</t>
        </is>
      </c>
      <c r="D83" s="10" t="inlineStr">
        <is>
          <t>Entidad pública</t>
        </is>
      </c>
      <c r="E83" s="10" t="inlineStr">
        <is>
          <t>https://www.medellin.gov.co/servidormapas/rest/services/ordenamiento_ter/VM_Espacio_Publico/MapServer/0</t>
        </is>
      </c>
      <c r="F83" s="10" t="inlineStr">
        <is>
          <t>GeoJSON</t>
        </is>
      </c>
      <c r="G83" s="10" t="inlineStr">
        <is>
          <t>API sin llave</t>
        </is>
      </c>
      <c r="H83" s="10" t="inlineStr">
        <is>
          <t>no declara</t>
        </is>
      </c>
      <c r="I83" s="10" t="inlineStr">
        <is>
          <t>No</t>
        </is>
      </c>
      <c r="J83" s="10" t="inlineStr">
        <is>
          <t>Medellín, suelo urbano</t>
        </is>
      </c>
      <c r="K83" s="10" t="inlineStr">
        <is>
          <t>Inventario 2023 · Inventario 2023; población 2023</t>
        </is>
      </c>
      <c r="L83" s="10" t="inlineStr">
        <is>
          <t>Única vez</t>
        </is>
      </c>
      <c r="M83" s="10" t="inlineStr">
        <is>
          <t>2026-10-24</t>
        </is>
      </c>
      <c r="N83" s="10" t="inlineStr">
        <is>
          <t>Integrada al lago</t>
        </is>
      </c>
      <c r="O83" s="10" t="inlineStr">
        <is>
          <t>Servidor de mapas de la Alcaldía (ArcGIS REST), explorado por carpetas con ayuda de IA</t>
        </is>
      </c>
      <c r="P83" s="10" t="inlineStr">
        <is>
          <t>Inventario de 2023. · Entrega 2: Abierto. Licencia leída el 2026-10-24 en https://www.medellin.gov.co/servidormapas/rest/services/ordenamiento_ter/VM_Espacio_Publico/MapServer. El servicio solo trae un crédito (copyrightText): «Departamento Administrativo de Planeación (DAP), Alcaldía de Medellín.».</t>
        </is>
      </c>
    </row>
    <row r="84">
      <c r="A84" s="10" t="inlineStr">
        <is>
          <t>F080</t>
        </is>
      </c>
      <c r="B84" s="10" t="inlineStr">
        <is>
          <t>PM2.5 e índice ICA por estación (promedio de 24 h)</t>
        </is>
      </c>
      <c r="C84" s="10" t="inlineStr">
        <is>
          <t>SIATA · Área Metropolitana del Valle de Aburrá</t>
        </is>
      </c>
      <c r="D84" s="10" t="inlineStr">
        <is>
          <t>Entidad pública</t>
        </is>
      </c>
      <c r="E84" s="10" t="inlineStr">
        <is>
          <t>https://geoportal.siata.gov.co/fastgeoapi/geodata/geodataJson/1/pm25_minio</t>
        </is>
      </c>
      <c r="F84" s="10" t="inlineStr">
        <is>
          <t>JSON</t>
        </is>
      </c>
      <c r="G84" s="10" t="inlineStr">
        <is>
          <t>API sin llave</t>
        </is>
      </c>
      <c r="H84" s="10" t="inlineStr">
        <is>
          <t>no declara</t>
        </is>
      </c>
      <c r="I84" s="10" t="inlineStr">
        <is>
          <t>No</t>
        </is>
      </c>
      <c r="J84" s="10" t="inlineStr">
        <is>
          <t>Valle de Aburrá, por estación</t>
        </is>
      </c>
      <c r="K84" s="10" t="inlineStr">
        <is>
          <t>Red en operación</t>
        </is>
      </c>
      <c r="L84" s="10" t="inlineStr">
        <is>
          <t>Tiempo real</t>
        </is>
      </c>
      <c r="M84" s="10" t="inlineStr">
        <is>
          <t>2026-09-26</t>
        </is>
      </c>
      <c r="N84" s="10" t="inlineStr">
        <is>
          <t>Integrada al lago</t>
        </is>
      </c>
      <c r="O84" s="10" t="inlineStr">
        <is>
          <t>Geoportal del SIATA; los endpoints se ubicaron con ayuda de IA y se probaron con curl</t>
        </is>
      </c>
      <c r="P84" s="10" t="inlineStr">
        <is>
          <t>Promedio de 24 h por estación. · Entrega 2: Abierto. Licencia leída el 2026-10-24 en https://siata.gov.co/siata_nuevo/.</t>
        </is>
      </c>
    </row>
    <row r="85">
      <c r="A85" s="10" t="inlineStr">
        <is>
          <t>F081</t>
        </is>
      </c>
      <c r="B85" s="10" t="inlineStr">
        <is>
          <t>Pluviómetros con acumulado de lluvia</t>
        </is>
      </c>
      <c r="C85" s="10" t="inlineStr">
        <is>
          <t>SIATA · Área Metropolitana del Valle de Aburrá</t>
        </is>
      </c>
      <c r="D85" s="10" t="inlineStr">
        <is>
          <t>Entidad pública</t>
        </is>
      </c>
      <c r="E85" s="10" t="inlineStr">
        <is>
          <t>https://geoportal.siata.gov.co/fastgeoapi/geodata/geodataJson/3/pluvios_v2</t>
        </is>
      </c>
      <c r="F85" s="10" t="inlineStr">
        <is>
          <t>JSON</t>
        </is>
      </c>
      <c r="G85" s="10" t="inlineStr">
        <is>
          <t>API sin llave</t>
        </is>
      </c>
      <c r="H85" s="10" t="inlineStr">
        <is>
          <t>no declara</t>
        </is>
      </c>
      <c r="I85" s="10" t="inlineStr">
        <is>
          <t>No</t>
        </is>
      </c>
      <c r="J85" s="10" t="inlineStr">
        <is>
          <t>Valle de Aburrá, por pluviómetro</t>
        </is>
      </c>
      <c r="K85" s="10" t="inlineStr">
        <is>
          <t>Red en operación</t>
        </is>
      </c>
      <c r="L85" s="10" t="inlineStr">
        <is>
          <t>Tiempo real</t>
        </is>
      </c>
      <c r="M85" s="10" t="inlineStr">
        <is>
          <t>2026-09-26</t>
        </is>
      </c>
      <c r="N85" s="10" t="inlineStr">
        <is>
          <t>Integrada al lago</t>
        </is>
      </c>
      <c r="O85" s="10" t="inlineStr">
        <is>
          <t>Geoportal del SIATA; los endpoints se ubicaron con ayuda de IA y se probaron con curl</t>
        </is>
      </c>
      <c r="P85" s="10" t="inlineStr">
        <is>
          <t>Acumulados de lluvia. · Entrega 2: Abierto. Licencia leída el 2026-10-24 en https://siata.gov.co/siata_nuevo/.</t>
        </is>
      </c>
    </row>
    <row r="86">
      <c r="A86" s="10" t="inlineStr">
        <is>
          <t>F082</t>
        </is>
      </c>
      <c r="B86" s="10" t="inlineStr">
        <is>
          <t>Nivel de quebradas y del río Medellín</t>
        </is>
      </c>
      <c r="C86" s="10" t="inlineStr">
        <is>
          <t>SIATA · Área Metropolitana del Valle de Aburrá</t>
        </is>
      </c>
      <c r="D86" s="10" t="inlineStr">
        <is>
          <t>Entidad pública</t>
        </is>
      </c>
      <c r="E86" s="10" t="inlineStr">
        <is>
          <t>https://geoportal.siata.gov.co/fastgeoapi/geodata/geodataJson/2/niveles</t>
        </is>
      </c>
      <c r="F86" s="10" t="inlineStr">
        <is>
          <t>JSON</t>
        </is>
      </c>
      <c r="G86" s="10" t="inlineStr">
        <is>
          <t>API sin llave</t>
        </is>
      </c>
      <c r="H86" s="10" t="inlineStr">
        <is>
          <t>no declara</t>
        </is>
      </c>
      <c r="I86" s="10" t="inlineStr">
        <is>
          <t>No</t>
        </is>
      </c>
      <c r="J86" s="10" t="inlineStr">
        <is>
          <t>Valle de Aburrá, por estación</t>
        </is>
      </c>
      <c r="K86" s="10" t="inlineStr">
        <is>
          <t>Red en operación</t>
        </is>
      </c>
      <c r="L86" s="10" t="inlineStr">
        <is>
          <t>Tiempo real</t>
        </is>
      </c>
      <c r="M86" s="10" t="inlineStr">
        <is>
          <t>2026-09-26</t>
        </is>
      </c>
      <c r="N86" s="10" t="inlineStr">
        <is>
          <t>Integrada al lago</t>
        </is>
      </c>
      <c r="O86" s="10" t="inlineStr">
        <is>
          <t>Geoportal del SIATA; los endpoints se ubicaron con ayuda de IA y se probaron con curl</t>
        </is>
      </c>
      <c r="P86" s="10" t="inlineStr">
        <is>
          <t>Nivel de quebradas y del río. · Entrega 2: Abierto. Licencia leída el 2026-10-24 en https://siata.gov.co/siata_nuevo/.</t>
        </is>
      </c>
    </row>
    <row r="87">
      <c r="A87" s="10" t="inlineStr">
        <is>
          <t>F083</t>
        </is>
      </c>
      <c r="B87" s="10" t="inlineStr">
        <is>
          <t>Temperatura, viento y humedad por estación</t>
        </is>
      </c>
      <c r="C87" s="10" t="inlineStr">
        <is>
          <t>SIATA · Área Metropolitana del Valle de Aburrá</t>
        </is>
      </c>
      <c r="D87" s="10" t="inlineStr">
        <is>
          <t>Entidad pública</t>
        </is>
      </c>
      <c r="E87" s="10" t="inlineStr">
        <is>
          <t>https://geoportal.siata.gov.co/fastgeoapi/geodata/geodataJson/3/tempVient</t>
        </is>
      </c>
      <c r="F87" s="10" t="inlineStr">
        <is>
          <t>JSON</t>
        </is>
      </c>
      <c r="G87" s="10" t="inlineStr">
        <is>
          <t>API sin llave</t>
        </is>
      </c>
      <c r="H87" s="10" t="inlineStr">
        <is>
          <t>no declara</t>
        </is>
      </c>
      <c r="I87" s="10" t="inlineStr">
        <is>
          <t>No</t>
        </is>
      </c>
      <c r="J87" s="10" t="inlineStr">
        <is>
          <t>Valle de Aburrá, por estación</t>
        </is>
      </c>
      <c r="K87" s="10" t="inlineStr">
        <is>
          <t>Red en operación</t>
        </is>
      </c>
      <c r="L87" s="10" t="inlineStr">
        <is>
          <t>Tiempo real</t>
        </is>
      </c>
      <c r="M87" s="10" t="inlineStr">
        <is>
          <t>2026-09-26</t>
        </is>
      </c>
      <c r="N87" s="10" t="inlineStr">
        <is>
          <t>Integrada al lago</t>
        </is>
      </c>
      <c r="O87" s="10" t="inlineStr">
        <is>
          <t>Geoportal del SIATA; los endpoints se ubicaron con ayuda de IA y se probaron con curl</t>
        </is>
      </c>
      <c r="P87" s="10" t="inlineStr">
        <is>
          <t>Temperatura, viento y humedad. · Entrega 2: Abierto. Licencia leída el 2026-10-24 en https://siata.gov.co/siata_nuevo/.</t>
        </is>
      </c>
    </row>
    <row r="88">
      <c r="A88" s="10" t="inlineStr">
        <is>
          <t>F084</t>
        </is>
      </c>
      <c r="B88" s="10" t="inlineStr">
        <is>
          <t>Red oficial de ruido (promedio de 7 días)</t>
        </is>
      </c>
      <c r="C88" s="10" t="inlineStr">
        <is>
          <t>SIATA · Área Metropolitana del Valle de Aburrá</t>
        </is>
      </c>
      <c r="D88" s="10" t="inlineStr">
        <is>
          <t>Entidad pública</t>
        </is>
      </c>
      <c r="E88" s="10" t="inlineStr">
        <is>
          <t>https://geoportal.siata.gov.co/fastgeoapi/geodata/geodataJson/1/ruido_oficial</t>
        </is>
      </c>
      <c r="F88" s="10" t="inlineStr">
        <is>
          <t>JSON</t>
        </is>
      </c>
      <c r="G88" s="10" t="inlineStr">
        <is>
          <t>API sin llave</t>
        </is>
      </c>
      <c r="H88" s="10" t="inlineStr">
        <is>
          <t>no declara</t>
        </is>
      </c>
      <c r="I88" s="10" t="inlineStr">
        <is>
          <t>No</t>
        </is>
      </c>
      <c r="J88" s="10" t="inlineStr">
        <is>
          <t>Valle de Aburrá, por estación</t>
        </is>
      </c>
      <c r="K88" s="10" t="inlineStr">
        <is>
          <t>Red en operación</t>
        </is>
      </c>
      <c r="L88" s="10" t="inlineStr">
        <is>
          <t>Tiempo real</t>
        </is>
      </c>
      <c r="M88" s="10" t="inlineStr">
        <is>
          <t>2026-09-26</t>
        </is>
      </c>
      <c r="N88" s="10" t="inlineStr">
        <is>
          <t>Integrada al lago</t>
        </is>
      </c>
      <c r="O88" s="10" t="inlineStr">
        <is>
          <t>Geoportal del SIATA; los endpoints se ubicaron con ayuda de IA y se probaron con curl</t>
        </is>
      </c>
      <c r="P88" s="10" t="inlineStr">
        <is>
          <t>Promedio de 7 días. · Entrega 2: Abierto. Licencia leída el 2026-10-24 en https://siata.gov.co/siata_nuevo/.</t>
        </is>
      </c>
    </row>
    <row r="89">
      <c r="A89" s="10" t="inlineStr">
        <is>
          <t>F085</t>
        </is>
      </c>
      <c r="B89" s="10" t="inlineStr">
        <is>
          <t>Alertas activas del geoportal ciudadano</t>
        </is>
      </c>
      <c r="C89" s="10" t="inlineStr">
        <is>
          <t>SIATA · Área Metropolitana del Valle de Aburrá</t>
        </is>
      </c>
      <c r="D89" s="10" t="inlineStr">
        <is>
          <t>Entidad pública</t>
        </is>
      </c>
      <c r="E89" s="10" t="inlineStr">
        <is>
          <t>https://geoportal.siata.gov.co/fastgeoapi/alerts/active/citizen</t>
        </is>
      </c>
      <c r="F89" s="10" t="inlineStr">
        <is>
          <t>JSON</t>
        </is>
      </c>
      <c r="G89" s="10" t="inlineStr">
        <is>
          <t>API sin llave</t>
        </is>
      </c>
      <c r="H89" s="10" t="inlineStr">
        <is>
          <t>no declara</t>
        </is>
      </c>
      <c r="I89" s="10" t="inlineStr">
        <is>
          <t>No</t>
        </is>
      </c>
      <c r="J89" s="10" t="inlineStr">
        <is>
          <t>Valle de Aburrá</t>
        </is>
      </c>
      <c r="K89" s="10" t="inlineStr">
        <is>
          <t>Servicio vigente</t>
        </is>
      </c>
      <c r="L89" s="10" t="inlineStr">
        <is>
          <t>Tiempo real</t>
        </is>
      </c>
      <c r="M89" s="10" t="inlineStr">
        <is>
          <t>2026-09-26</t>
        </is>
      </c>
      <c r="N89" s="10" t="inlineStr">
        <is>
          <t>Integrada al lago</t>
        </is>
      </c>
      <c r="O89" s="10" t="inlineStr">
        <is>
          <t>Geoportal del SIATA; los endpoints se ubicaron con ayuda de IA y se probaron con curl</t>
        </is>
      </c>
      <c r="P89" s="10" t="inlineStr">
        <is>
          <t>Alertas ciudadanas activas; se leen en vivo. · Entrega 2: Abierto. Licencia leída el 2026-10-24 en https://siata.gov.co/siata_nuevo/.</t>
        </is>
      </c>
    </row>
    <row r="90">
      <c r="A90" s="10" t="inlineStr">
        <is>
          <t>F086</t>
        </is>
      </c>
      <c r="B90" s="10" t="inlineStr">
        <is>
          <t>Sismos de magnitud 4 o más a menos de 300 km de Medellín</t>
        </is>
      </c>
      <c r="C90" s="10" t="inlineStr">
        <is>
          <t>Servicio Geológico de Estados Unidos (USGS) · web service FDSN</t>
        </is>
      </c>
      <c r="D90" s="10" t="inlineStr">
        <is>
          <t>Entidad pública</t>
        </is>
      </c>
      <c r="E90" s="10" t="inlineStr">
        <is>
          <t>https://earthquake.usgs.gov/fdsnws/event/1/query?format=geojson&amp;starttime=2000-01-01&amp;latitude=6.2476&amp;longitude=-75.5686&amp;maxradiuskm=300&amp;minmagnitude=4&amp;orderby=time</t>
        </is>
      </c>
      <c r="F90" s="10" t="inlineStr">
        <is>
          <t>GeoJSON</t>
        </is>
      </c>
      <c r="G90" s="10" t="inlineStr">
        <is>
          <t>API sin llave</t>
        </is>
      </c>
      <c r="H90" s="10" t="inlineStr">
        <is>
          <t>USGS-authored or produced data and information are considered to be in the U.S. Public Domain.</t>
        </is>
      </c>
      <c r="I90" s="10" t="inlineStr">
        <is>
          <t>No</t>
        </is>
      </c>
      <c r="J90" s="10" t="inlineStr">
        <is>
          <t>Radio de 300 km alrededor de Medellín</t>
        </is>
      </c>
      <c r="K90" s="10" t="inlineStr">
        <is>
          <t>2000 – 2026</t>
        </is>
      </c>
      <c r="L90" s="10" t="inlineStr">
        <is>
          <t>Tiempo real</t>
        </is>
      </c>
      <c r="M90" s="10" t="inlineStr">
        <is>
          <t>2026-09-26</t>
        </is>
      </c>
      <c r="N90" s="10" t="inlineStr">
        <is>
          <t>Integrada al lago</t>
        </is>
      </c>
      <c r="O90" s="10" t="inlineStr">
        <is>
          <t>Servicio FDSN del USGS, sugerido por la IA</t>
        </is>
      </c>
      <c r="P90" s="10" t="inlineStr">
        <is>
          <t>Solo sismos de magnitud 4 o más desde el año 2000. · Entrega 2: Abierto. Licencia leída el 2026-10-24 en https://www.usgs.gov/information-policies-and-instructions/copyrights-and-credits.</t>
        </is>
      </c>
    </row>
    <row r="91">
      <c r="A91" s="10" t="inlineStr">
        <is>
          <t>F087</t>
        </is>
      </c>
      <c r="B91" s="10" t="inlineStr">
        <is>
          <t>Mapa de ruido del Valle de Aburrá (isófonas de ruido total, día y noche)</t>
        </is>
      </c>
      <c r="C91" s="10" t="inlineStr">
        <is>
          <t>Área Metropolitana del Valle de Aburrá · Portal IDEM</t>
        </is>
      </c>
      <c r="D91" s="10" t="inlineStr">
        <is>
          <t>Entidad pública</t>
        </is>
      </c>
      <c r="E91" s="10" t="inlineStr">
        <is>
          <t>https://portalidem.metropol.gov.co/server/rest/services/Hosted/AMVA_GESTION_DEL_RUIDO/FeatureServer</t>
        </is>
      </c>
      <c r="F91" s="10" t="inlineStr">
        <is>
          <t>GeoJSON</t>
        </is>
      </c>
      <c r="G91" s="10" t="inlineStr">
        <is>
          <t>API sin llave</t>
        </is>
      </c>
      <c r="H91" s="10" t="inlineStr">
        <is>
          <t>Sin verificar: la fuente no respondió al consultarla (No se pudo descargar https://portalidem.metropol.gov.co/server/rest/services/Hosted/AMVA_GESTION_DEL_RUIDO/FeatureServer?f=json: HTTP Error )</t>
        </is>
      </c>
      <c r="I91" s="10" t="inlineStr">
        <is>
          <t>No</t>
        </is>
      </c>
      <c r="J91" s="10" t="inlineStr">
        <is>
          <t>Valle de Aburrá (se recorta a Medellín)</t>
        </is>
      </c>
      <c r="K91" s="10" t="inlineStr">
        <is>
          <t>Estudio del AMVA</t>
        </is>
      </c>
      <c r="L91" s="10" t="inlineStr">
        <is>
          <t>Única vez</t>
        </is>
      </c>
      <c r="M91" s="10" t="inlineStr">
        <is>
          <t>2026-09-26</t>
        </is>
      </c>
      <c r="N91" s="10" t="inlineStr">
        <is>
          <t>Integrada al lago</t>
        </is>
      </c>
      <c r="O91" s="10" t="inlineStr">
        <is>
          <t>Portal IDEM del Área Metropolitana (ArcGIS REST), explorado con ayuda de IA</t>
        </is>
      </c>
      <c r="P91" s="10" t="inlineStr">
        <is>
          <t>Resultado de un estudio del AMVA; por eso queda «declarado». · Entrega 2: Abierto. Licencia leída el 2026-10-24 en https://portalidem.metropol.gov.co/server/rest/services/Hosted/AMVA_GESTION_DEL_RUIDO/FeatureServer.</t>
        </is>
      </c>
    </row>
    <row r="92">
      <c r="A92" s="10" t="inlineStr">
        <is>
          <t>F088</t>
        </is>
      </c>
      <c r="B92" s="10" t="inlineStr">
        <is>
          <t>Luces nocturnas VIIRS (Day/Night Band, radiancia diaria)</t>
        </is>
      </c>
      <c r="C92" s="10" t="inlineStr">
        <is>
          <t>NASA · Global Imagery Browse Services (GIBS)</t>
        </is>
      </c>
      <c r="D92" s="10" t="inlineStr">
        <is>
          <t>Entidad pública</t>
        </is>
      </c>
      <c r="E92" s="10" t="inlineStr">
        <is>
          <t>https://gibs.earthdata.nasa.gov/wmts/epsg3857/best/VIIRS_SNPP_DayNightBand_At_Sensor_Radiance/default/default/GoogleMapsCompatible_Level8/0/0/0.png</t>
        </is>
      </c>
      <c r="F92" s="10" t="inlineStr">
        <is>
          <t>Otro</t>
        </is>
      </c>
      <c r="G92" s="10" t="inlineStr">
        <is>
          <t>API sin llave</t>
        </is>
      </c>
      <c r="H92" s="10" t="inlineStr">
        <is>
          <t>NASA's free and open data use guidance states that data and information generated under NASA sponsorship are available to all users.</t>
        </is>
      </c>
      <c r="I92" s="10" t="inlineStr">
        <is>
          <t>No</t>
        </is>
      </c>
      <c r="J92" s="10" t="inlineStr">
        <is>
          <t>Global</t>
        </is>
      </c>
      <c r="K92" s="10" t="inlineStr">
        <is>
          <t>Servicio vigente</t>
        </is>
      </c>
      <c r="L92" s="10" t="inlineStr">
        <is>
          <t>Diaria</t>
        </is>
      </c>
      <c r="M92" s="10" t="inlineStr">
        <is>
          <t>2026-09-26</t>
        </is>
      </c>
      <c r="N92" s="10" t="inlineStr">
        <is>
          <t>Integrada al lago</t>
        </is>
      </c>
      <c r="O92" s="10" t="inlineStr">
        <is>
          <t>Servicio WMTS de NASA GIBS, sugerido por la IA</t>
        </is>
      </c>
      <c r="P92" s="10" t="inlineStr">
        <is>
          <t>Teselas hasta el nivel 8 (~2 km por píxel). · Entrega 2: Abierto. Licencia leída el 2026-10-24 en https://earthdata.nasa.gov/engage/open-data-services-software-policies.</t>
        </is>
      </c>
    </row>
    <row r="93">
      <c r="A93" s="10" t="inlineStr">
        <is>
          <t>F089</t>
        </is>
      </c>
      <c r="B93" s="10" t="inlineStr">
        <is>
          <t>Mosaico Sentinel-2 sin nubes (s2cloudless 2023)</t>
        </is>
      </c>
      <c r="C93" s="10" t="inlineStr">
        <is>
          <t>EOX IT Services · ESA Sentinel-2</t>
        </is>
      </c>
      <c r="D93" s="10" t="inlineStr">
        <is>
          <t>Empresa privada</t>
        </is>
      </c>
      <c r="E93" s="10" t="inlineStr">
        <is>
          <t>https://tiles.maps.eox.at/wmts/1.0.0/s2cloudless-2023_3857/default/g/0/0/0.jpg</t>
        </is>
      </c>
      <c r="F93" s="10" t="inlineStr">
        <is>
          <t>Otro</t>
        </is>
      </c>
      <c r="G93" s="10" t="inlineStr">
        <is>
          <t>API sin llave</t>
        </is>
      </c>
      <c r="H93" s="10" t="inlineStr">
        <is>
          <t>Do you want to use our maps as part of your application? Just feel free to use them. We just ask for a link back to EOX::Maps as well as appropriate attribution.</t>
        </is>
      </c>
      <c r="I93" s="10" t="inlineStr">
        <is>
          <t>No</t>
        </is>
      </c>
      <c r="J93" s="10" t="inlineStr">
        <is>
          <t>Global</t>
        </is>
      </c>
      <c r="K93" s="10" t="inlineStr">
        <is>
          <t>Servicio vigente</t>
        </is>
      </c>
      <c r="L93" s="10" t="inlineStr">
        <is>
          <t>Anual</t>
        </is>
      </c>
      <c r="M93" s="10" t="inlineStr">
        <is>
          <t>2026-09-26</t>
        </is>
      </c>
      <c r="N93" s="10" t="inlineStr">
        <is>
          <t>Integrada al lago</t>
        </is>
      </c>
      <c r="O93" s="10" t="inlineStr">
        <is>
          <t>Mosaico s2cloudless de EOX, sugerido por la IA</t>
        </is>
      </c>
      <c r="P93" s="10" t="inlineStr">
        <is>
          <t>Solo uso no comercial; se usa la versión de 2023. · Entrega 2: Abierto. Licencia leída el 2026-10-24 en https://maps.eox.at/.</t>
        </is>
      </c>
    </row>
    <row r="94">
      <c r="A94" s="10" t="inlineStr">
        <is>
          <t>F090</t>
        </is>
      </c>
      <c r="B94" s="10" t="inlineStr">
        <is>
          <t>Vistas mensuales de artículos (Pageviews API, agent=user)</t>
        </is>
      </c>
      <c r="C94" s="10" t="inlineStr">
        <is>
          <t>Wikimedia Foundation</t>
        </is>
      </c>
      <c r="D94" s="10" t="inlineStr">
        <is>
          <t>Plataforma colaborativa</t>
        </is>
      </c>
      <c r="E94" s="10" t="inlineStr">
        <is>
          <t>https://wikimedia.org/api/rest_v1/metrics/pageviews/per-article/es.wikipedia/all-access/user/Medell%C3%ADn/monthly/2015070100/2026093000</t>
        </is>
      </c>
      <c r="F94" s="10" t="inlineStr">
        <is>
          <t>JSON</t>
        </is>
      </c>
      <c r="G94" s="10" t="inlineStr">
        <is>
          <t>API sin llave</t>
        </is>
      </c>
      <c r="H94" s="10" t="inlineStr">
        <is>
          <t>All Analytics datasets are available under the Creative Commons CC0 dedication.</t>
        </is>
      </c>
      <c r="I94" s="10" t="inlineStr">
        <is>
          <t>No</t>
        </is>
      </c>
      <c r="J94" s="10" t="inlineStr">
        <is>
          <t>Global, por artículo (Medellín)</t>
        </is>
      </c>
      <c r="K94" s="10" t="inlineStr">
        <is>
          <t>jul 2015 – sep 2026</t>
        </is>
      </c>
      <c r="L94" s="10" t="inlineStr">
        <is>
          <t>Mensual</t>
        </is>
      </c>
      <c r="M94" s="10" t="inlineStr">
        <is>
          <t>2026-10-25</t>
        </is>
      </c>
      <c r="N94" s="10" t="inlineStr">
        <is>
          <t>Integrada al lago</t>
        </is>
      </c>
      <c r="O94" s="10" t="inlineStr">
        <is>
          <t>API de métricas de Wikimedia, sugerida por la IA y probada con curl</t>
        </is>
      </c>
      <c r="P94" s="10" t="inlineStr">
        <is>
          <t>Cuenta personas, no bots (agente «user»); rezago de unos días tras cada mes. · Entrega 2: Abierto. Licencia leída el 2026-10-24 en https://dumps.wikimedia.org/other/pageview_complete/readme.html.</t>
        </is>
      </c>
    </row>
    <row r="95">
      <c r="A95" s="10" t="inlineStr">
        <is>
          <t>F091</t>
        </is>
      </c>
      <c r="B95" s="10" t="inlineStr">
        <is>
          <t>Artículos que nombran a Medellín por día (DOC API 2.0, timelinevolraw)</t>
        </is>
      </c>
      <c r="C95" s="10" t="inlineStr">
        <is>
          <t>GDELT Project</t>
        </is>
      </c>
      <c r="D95" s="10" t="inlineStr">
        <is>
          <t>Academia u ONG</t>
        </is>
      </c>
      <c r="E95" s="10" t="inlineStr">
        <is>
          <t>https://api.gdeltproject.org/api/v2/doc/doc?query=%28medell%C3%ADn+OR+medellin%29&amp;mode=timelinevolraw&amp;timespan=3m</t>
        </is>
      </c>
      <c r="F95" s="10" t="inlineStr">
        <is>
          <t>JSON</t>
        </is>
      </c>
      <c r="G95" s="10" t="inlineStr">
        <is>
          <t>API sin llave</t>
        </is>
      </c>
      <c r="H95" s="10" t="inlineStr">
        <is>
          <t>All datasets released by the GDELT Project are available for unlimited and unrestricted use for any academic, commercial, or governmental use of any kind without fee. Any use or redistribution of the data must include a citation to the GDELT Project and a link to this website (https://www.gdeltproject.org/).</t>
        </is>
      </c>
      <c r="I95" s="10" t="inlineStr">
        <is>
          <t>No</t>
        </is>
      </c>
      <c r="J95" s="10" t="inlineStr">
        <is>
          <t>Global, prensa que nombra a Medellín</t>
        </is>
      </c>
      <c r="K95" s="10" t="inlineStr">
        <is>
          <t>27 jul 2026 – 24 oct 2026</t>
        </is>
      </c>
      <c r="L95" s="10" t="inlineStr">
        <is>
          <t>Tiempo real</t>
        </is>
      </c>
      <c r="M95" s="10" t="inlineStr">
        <is>
          <t>2026-10-25</t>
        </is>
      </c>
      <c r="N95" s="10" t="inlineStr">
        <is>
          <t>Integrada al lago</t>
        </is>
      </c>
      <c r="O95" s="10" t="inlineStr">
        <is>
          <t>API DOC 2.0 de GDELT, sugerida por la IA</t>
        </is>
      </c>
      <c r="P95" s="10" t="inlineStr">
        <is>
          <t>Cuenta artículos de medios en múltiples idiomas; sesgo hacia prensa en línea. · Entrega 2: Abierto. Licencia leída el 2026-10-24 en https://www.gdeltproject.org/about.html.</t>
        </is>
      </c>
    </row>
    <row r="96">
      <c r="A96" s="10" t="inlineStr">
        <is>
          <t>F092</t>
        </is>
      </c>
      <c r="B96" s="10" t="inlineStr">
        <is>
          <t>Artículos más relevantes que nombran a Medellín (DOC API 2.0, artlist)</t>
        </is>
      </c>
      <c r="C96" s="10" t="inlineStr">
        <is>
          <t>GDELT Project</t>
        </is>
      </c>
      <c r="D96" s="10" t="inlineStr">
        <is>
          <t>Academia u ONG</t>
        </is>
      </c>
      <c r="E96" s="10" t="inlineStr">
        <is>
          <t>https://api.gdeltproject.org/api/v2/doc/doc?query=%28medell%C3%ADn+OR+medellin%29&amp;mode=artlist&amp;sort=hybridrel&amp;maxrecords=250&amp;timespan=1m</t>
        </is>
      </c>
      <c r="F96" s="10" t="inlineStr">
        <is>
          <t>JSON</t>
        </is>
      </c>
      <c r="G96" s="10" t="inlineStr">
        <is>
          <t>API sin llave</t>
        </is>
      </c>
      <c r="H96" s="10" t="inlineStr">
        <is>
          <t>All datasets released by the GDELT Project are available for unlimited and unrestricted use for any academic, commercial, or governmental use of any kind without fee. Any use or redistribution of the data must include a citation to the GDELT Project and a link to this website (https://www.gdeltproject.org/).</t>
        </is>
      </c>
      <c r="I96" s="10" t="inlineStr">
        <is>
          <t>Texto libre sin revisar</t>
        </is>
      </c>
      <c r="J96" s="10" t="inlineStr">
        <is>
          <t>Global, prensa que nombra a Medellín</t>
        </is>
      </c>
      <c r="K96" s="10" t="inlineStr">
        <is>
          <t>27 jul 2026 – 24 oct 2026</t>
        </is>
      </c>
      <c r="L96" s="10" t="inlineStr">
        <is>
          <t>Tiempo real</t>
        </is>
      </c>
      <c r="M96" s="10" t="inlineStr">
        <is>
          <t>2026-10-25</t>
        </is>
      </c>
      <c r="N96" s="10" t="inlineStr">
        <is>
          <t>Integrada al lago</t>
        </is>
      </c>
      <c r="O96" s="10" t="inlineStr">
        <is>
          <t>API DOC 2.0 de GDELT, sugerida por la IA</t>
        </is>
      </c>
      <c r="P96" s="10" t="inlineStr">
        <is>
          <t>Los titulares pueden nombrar personas; no se revisan uno a uno. · Entrega 2: Abierto, con filtro: se excluyen los titulares sobre fallecimientos y hechos violentos y no se guarda el texto del artículo, solo título, medio, fecha y enlace. Licencia leída el 2026-10-24 en https://www.gdeltproject.org/about.html.</t>
        </is>
      </c>
    </row>
    <row r="97">
      <c r="A97" s="10" t="inlineStr">
        <is>
          <t>F093</t>
        </is>
      </c>
      <c r="B97" s="10" t="inlineStr">
        <is>
          <t>Clima actual en el centro de Medellín (modelo meteorológico, no estación)</t>
        </is>
      </c>
      <c r="C97" s="10" t="inlineStr">
        <is>
          <t>Open-Meteo · API de pronóstico</t>
        </is>
      </c>
      <c r="D97" s="10" t="inlineStr">
        <is>
          <t>Entidad privada</t>
        </is>
      </c>
      <c r="E97" s="10" t="inlineStr">
        <is>
          <t>https://api.open-meteo.com/v1/forecast?latitude=6.2476&amp;longitude=-75.5686&amp;current=temperature_2m%2Crelative_humidity_2m%2Capparent_temperature%2Cis_day%2Cprecipitation%2Cweather_code%2Cwind_speed_10m&amp;timezone=America%2FBogota</t>
        </is>
      </c>
      <c r="F97" s="10" t="inlineStr">
        <is>
          <t>JSON</t>
        </is>
      </c>
      <c r="G97" s="10" t="inlineStr">
        <is>
          <t>API sin llave</t>
        </is>
      </c>
      <c r="H97" s="10" t="inlineStr">
        <is>
          <t>API data are offered under Attribution 4.0 International (CC BY 4.0). You may only use the free API services for non-commercial purposes.</t>
        </is>
      </c>
      <c r="I97" s="10" t="inlineStr">
        <is>
          <t>No</t>
        </is>
      </c>
      <c r="J97" s="10" t="inlineStr">
        <is>
          <t>Medellín</t>
        </is>
      </c>
      <c r="K97" s="10" t="inlineStr">
        <is>
          <t>Servicio vigente</t>
        </is>
      </c>
      <c r="L97" s="10" t="inlineStr">
        <is>
          <t>En vivo</t>
        </is>
      </c>
      <c r="M97" s="10" t="inlineStr">
        <is>
          <t>2026-10-06</t>
        </is>
      </c>
      <c r="N97" s="10" t="inlineStr">
        <is>
          <t>Integrada al lago</t>
        </is>
      </c>
      <c r="O97" s="10" t="inlineStr">
        <is>
          <t>Búsqueda del grupo con IA</t>
        </is>
      </c>
      <c r="P97" s="10" t="inlineStr">
        <is>
          <t>Entrega 2: Abierto. Licencia leída el 2026-10-24 en https://open-meteo.com/en/license.</t>
        </is>
      </c>
    </row>
  </sheetData>
  <hyperlinks>
    <hyperlink xmlns:r="http://schemas.openxmlformats.org/officeDocument/2006/relationships" ref="E5" r:id="rId1"/>
    <hyperlink xmlns:r="http://schemas.openxmlformats.org/officeDocument/2006/relationships" ref="E60" r:id="rId2"/>
  </hyperlink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applyStyles="0" summaryBelow="1" summaryRight="1" showOutlineSymbols="1"/>
    <pageSetUpPr autoPageBreaks="1" fitToPage="0"/>
  </sheetPr>
  <dimension ref="A1:M122"/>
  <sheetViews>
    <sheetView zoomScale="100" workbookViewId="0">
      <pane xSplit="1" ySplit="3" topLeftCell="B4" activePane="bottomRight" state="frozen"/>
      <selection activeCell="A1" activeCellId="0" sqref="A1"/>
    </sheetView>
  </sheetViews>
  <sheetFormatPr baseColWidth="10" defaultColWidth="8.83203125" defaultRowHeight="15"/>
  <cols>
    <col width="9" customWidth="1" min="1" max="1"/>
    <col width="20" customWidth="1" min="2" max="2"/>
    <col width="22" customWidth="1" min="3" max="3"/>
    <col width="20" customWidth="1" min="4" max="4"/>
    <col width="36" customWidth="1" min="5" max="5"/>
    <col width="12" customWidth="1" min="6" max="6"/>
    <col width="16" customWidth="1" min="7" max="7"/>
    <col width="14" customWidth="1" min="8" max="8"/>
    <col width="11" customWidth="1" min="9" max="9"/>
    <col width="22" customWidth="1" min="10" max="10"/>
    <col width="16" customWidth="1" min="11" max="11"/>
    <col width="28" customWidth="1" min="12" max="12"/>
    <col width="32" customWidth="1" min="13" max="13"/>
  </cols>
  <sheetData>
    <row r="1" ht="18" customHeight="1">
      <c r="A1" s="6" t="inlineStr">
        <is>
          <t>2. Diccionario de datos</t>
        </is>
      </c>
    </row>
    <row r="2">
      <c r="A2" s="7" t="inlineStr">
        <is>
          <t>Una fila por campo que quedó en el lago. Si un campo del lago no aparece aquí, no existe.</t>
        </is>
      </c>
    </row>
    <row r="3" ht="42" customHeight="1">
      <c r="A3" s="8" t="inlineStr">
        <is>
          <t>ID fuente</t>
        </is>
      </c>
      <c r="B3" s="8" t="inlineStr">
        <is>
          <t>Archivo o tabla en el lago</t>
        </is>
      </c>
      <c r="C3" s="8" t="inlineStr">
        <is>
          <t>Nombre del campo en el lago</t>
        </is>
      </c>
      <c r="D3" s="8" t="inlineStr">
        <is>
          <t>Nombre original en la fuente</t>
        </is>
      </c>
      <c r="E3" s="8" t="inlineStr">
        <is>
          <t>Qué significa (en una frase)</t>
        </is>
      </c>
      <c r="F3" s="8" t="inlineStr">
        <is>
          <t>Tipo de dato</t>
        </is>
      </c>
      <c r="G3" s="8" t="inlineStr">
        <is>
          <t>Unidad de medida</t>
        </is>
      </c>
      <c r="H3" s="8" t="inlineStr">
        <is>
          <t>Ejemplo de valor</t>
        </is>
      </c>
      <c r="I3" s="8" t="inlineStr">
        <is>
          <t>¿Puede venir vacío?</t>
        </is>
      </c>
      <c r="J3" s="8" t="inlineStr">
        <is>
          <t>Valores permitidos o rango</t>
        </is>
      </c>
      <c r="K3" s="8" t="inlineStr">
        <is>
          <t>Clasificación</t>
        </is>
      </c>
      <c r="L3" s="8" t="inlineStr">
        <is>
          <t>Transformación que le hicieron</t>
        </is>
      </c>
      <c r="M3" s="8" t="inlineStr">
        <is>
          <t>Pregunta del sistema que ayuda a responder</t>
        </is>
      </c>
    </row>
    <row r="4" ht="39" customHeight="1">
      <c r="A4" s="9" t="inlineStr">
        <is>
          <t>F01</t>
        </is>
      </c>
      <c r="B4" s="9" t="inlineStr">
        <is>
          <t>lago/escucha.json</t>
        </is>
      </c>
      <c r="C4" s="9" t="inlineStr">
        <is>
          <t>vistas_ultimo_mes</t>
        </is>
      </c>
      <c r="D4" s="9" t="inlineStr">
        <is>
          <t>views</t>
        </is>
      </c>
      <c r="E4" s="9" t="inlineStr">
        <is>
          <t>Vistas del artículo de la ciudad hechas por personas en el último mes completo</t>
        </is>
      </c>
      <c r="F4" s="9" t="inlineStr">
        <is>
          <t>Entero</t>
        </is>
      </c>
      <c r="G4" s="9" t="inlineStr">
        <is>
          <t>vistas de personas</t>
        </is>
      </c>
      <c r="H4" s="9" t="inlineStr">
        <is>
          <t>19552</t>
        </is>
      </c>
      <c r="I4" s="9" t="inlineStr">
        <is>
          <t>No</t>
        </is>
      </c>
      <c r="J4" s="9" t="inlineStr">
        <is>
          <t>≥ 0</t>
        </is>
      </c>
      <c r="K4" s="9" t="inlineStr">
        <is>
          <t>Pública</t>
        </is>
      </c>
      <c r="L4" s="9" t="inlineStr">
        <is>
          <t>Se toma el último mes de la serie; la fecha AAAAMMDD se pasa a AAAA-MM</t>
        </is>
      </c>
      <c r="M4" s="9" t="inlineStr">
        <is>
          <t>¿Cuánto interés despierta la ciudad fuera de ella y cómo cambia en el año?</t>
        </is>
      </c>
    </row>
    <row r="5">
      <c r="A5" s="10" t="inlineStr">
        <is>
          <t>F013</t>
        </is>
      </c>
      <c r="B5" s="10" t="inlineStr">
        <is>
          <t>lago/seguridad.json</t>
        </is>
      </c>
      <c r="C5" s="10" t="inlineStr">
        <is>
          <t>cifras.&lt;clave&gt;.valor</t>
        </is>
      </c>
      <c r="D5" s="10" t="inlineStr">
        <is>
          <t>Homicidios · Policía Nacional</t>
        </is>
      </c>
      <c r="E5" s="10" t="inlineStr">
        <is>
          <t>Cifra puntual de un indicador: un conteo, una tasa, un porcentaje o una magnitud (misma estructura en los 12 archivos)</t>
        </is>
      </c>
      <c r="F5" s="10" t="inlineStr">
        <is>
          <t>Decimal</t>
        </is>
      </c>
      <c r="G5" s="10" t="inlineStr">
        <is>
          <t>según «unidad»</t>
        </is>
      </c>
      <c r="H5" s="10" t="inlineStr">
        <is>
          <t>333</t>
        </is>
      </c>
      <c r="I5" s="10" t="inlineStr">
        <is>
          <t>Sí</t>
        </is>
      </c>
      <c r="J5" s="10" t="inlineStr">
        <is>
          <t>Número; nulo si la fuente no publica el dato</t>
        </is>
      </c>
      <c r="K5" s="10" t="inlineStr">
        <is>
          <t>Pública</t>
        </is>
      </c>
      <c r="L5" s="10" t="inlineStr">
        <is>
          <t>Se agrega la fuente cruda al nivel de Medellín y se redondea según «decimales»</t>
        </is>
      </c>
      <c r="M5" s="10" t="inlineStr">
        <is>
          <t>¿Cuánto vale hoy cada indicador de la ciudad?</t>
        </is>
      </c>
    </row>
    <row r="6">
      <c r="A6" s="10" t="inlineStr">
        <is>
          <t>F013</t>
        </is>
      </c>
      <c r="B6" s="10" t="inlineStr">
        <is>
          <t>lago/seguridad.json</t>
        </is>
      </c>
      <c r="C6" s="10" t="inlineStr">
        <is>
          <t>cifras.&lt;clave&gt;.unidad</t>
        </is>
      </c>
      <c r="D6" s="10" t="inlineStr">
        <is>
          <t>Homicidios · Policía Nacional</t>
        </is>
      </c>
      <c r="E6" s="10" t="inlineStr">
        <is>
          <t>Unidad en que se expresa el valor</t>
        </is>
      </c>
      <c r="F6" s="10" t="inlineStr">
        <is>
          <t>Texto</t>
        </is>
      </c>
      <c r="G6" s="10" t="inlineStr">
        <is>
          <t>n/a</t>
        </is>
      </c>
      <c r="H6" s="10" t="inlineStr">
        <is>
          <t>por 100 mil hab.</t>
        </is>
      </c>
      <c r="I6" s="10" t="inlineStr">
        <is>
          <t>No</t>
        </is>
      </c>
      <c r="J6" s="10" t="inlineStr">
        <is>
          <t>casos, habitantes, %, ha, $/m², por 100 mil hab., etc.</t>
        </is>
      </c>
      <c r="K6" s="10" t="inlineStr">
        <is>
          <t>Pública</t>
        </is>
      </c>
      <c r="L6" s="10" t="inlineStr">
        <is>
          <t>Se asigna al definir el indicador</t>
        </is>
      </c>
      <c r="M6" s="10" t="inlineStr">
        <is>
          <t>¿En qué unidad está cada cifra?</t>
        </is>
      </c>
    </row>
    <row r="7">
      <c r="A7" s="10" t="inlineStr">
        <is>
          <t>F013</t>
        </is>
      </c>
      <c r="B7" s="10" t="inlineStr">
        <is>
          <t>lago/seguridad.json</t>
        </is>
      </c>
      <c r="C7" s="10" t="inlineStr">
        <is>
          <t>cifras.&lt;clave&gt;.etiqueta</t>
        </is>
      </c>
      <c r="D7" s="10" t="inlineStr">
        <is>
          <t>Homicidios · Policía Nacional</t>
        </is>
      </c>
      <c r="E7" s="10" t="inlineStr">
        <is>
          <t>Nombre legible del indicador que se muestra en pantalla</t>
        </is>
      </c>
      <c r="F7" s="10" t="inlineStr">
        <is>
          <t>Texto</t>
        </is>
      </c>
      <c r="G7" s="10" t="inlineStr">
        <is>
          <t>n/a</t>
        </is>
      </c>
      <c r="H7" s="10" t="inlineStr">
        <is>
          <t>Homicidios 2025</t>
        </is>
      </c>
      <c r="I7" s="10" t="inlineStr">
        <is>
          <t>No</t>
        </is>
      </c>
      <c r="J7" s="10" t="inlineStr">
        <is>
          <t>Texto libre en español</t>
        </is>
      </c>
      <c r="K7" s="10" t="inlineStr">
        <is>
          <t>Pública</t>
        </is>
      </c>
      <c r="L7" s="10" t="inlineStr">
        <is>
          <t>Se redacta e incluye el año o periodo</t>
        </is>
      </c>
      <c r="M7" s="10" t="inlineStr">
        <is>
          <t>¿Cómo se llama el indicador?</t>
        </is>
      </c>
    </row>
    <row r="8">
      <c r="A8" s="10" t="inlineStr">
        <is>
          <t>F013</t>
        </is>
      </c>
      <c r="B8" s="10" t="inlineStr">
        <is>
          <t>lago/seguridad.json</t>
        </is>
      </c>
      <c r="C8" s="10" t="inlineStr">
        <is>
          <t>cifras.&lt;clave&gt;.fuente</t>
        </is>
      </c>
      <c r="D8" s="10" t="inlineStr">
        <is>
          <t>Homicidios · Policía Nacional</t>
        </is>
      </c>
      <c r="E8" s="10" t="inlineStr">
        <is>
          <t>ID de la fuente en el catálogo de la que sale la cifra; une el lago con la hoja 1</t>
        </is>
      </c>
      <c r="F8" s="10" t="inlineStr">
        <is>
          <t>Código</t>
        </is>
      </c>
      <c r="G8" s="10" t="inlineStr">
        <is>
          <t>n/a</t>
        </is>
      </c>
      <c r="H8" s="10" t="inlineStr">
        <is>
          <t>policia-homicidios</t>
        </is>
      </c>
      <c r="I8" s="10" t="inlineStr">
        <is>
          <t>No</t>
        </is>
      </c>
      <c r="J8" s="10" t="inlineStr">
        <is>
          <t>Un id presente en lago/catalogo.json</t>
        </is>
      </c>
      <c r="K8" s="10" t="inlineStr">
        <is>
          <t>Pública</t>
        </is>
      </c>
      <c r="L8" s="10" t="inlineStr">
        <is>
          <t>Se asigna al calcular la cifra</t>
        </is>
      </c>
      <c r="M8" s="10" t="inlineStr">
        <is>
          <t>¿De dónde sale cada número y puede rastrearse?</t>
        </is>
      </c>
    </row>
    <row r="9">
      <c r="A9" s="10" t="inlineStr">
        <is>
          <t>F013</t>
        </is>
      </c>
      <c r="B9" s="10" t="inlineStr">
        <is>
          <t>lago/seguridad.json</t>
        </is>
      </c>
      <c r="C9" s="10" t="inlineStr">
        <is>
          <t>cifras.&lt;clave&gt;.vigencia</t>
        </is>
      </c>
      <c r="D9" s="10" t="inlineStr">
        <is>
          <t>Homicidios · Policía Nacional</t>
        </is>
      </c>
      <c r="E9" s="10" t="inlineStr">
        <is>
          <t>Periodo o corte al que corresponde el dato</t>
        </is>
      </c>
      <c r="F9" s="10" t="inlineStr">
        <is>
          <t>Texto</t>
        </is>
      </c>
      <c r="G9" s="10" t="inlineStr">
        <is>
          <t>n/a</t>
        </is>
      </c>
      <c r="H9" s="10" t="inlineStr">
        <is>
          <t>2025</t>
        </is>
      </c>
      <c r="I9" s="10" t="inlineStr">
        <is>
          <t>No</t>
        </is>
      </c>
      <c r="J9" s="10" t="inlineStr">
        <is>
          <t>Año, rango o fecha de corte</t>
        </is>
      </c>
      <c r="K9" s="10" t="inlineStr">
        <is>
          <t>Pública</t>
        </is>
      </c>
      <c r="L9" s="10" t="inlineStr">
        <is>
          <t>Se toma del último periodo completo de la serie</t>
        </is>
      </c>
      <c r="M9" s="10" t="inlineStr">
        <is>
          <t>¿De qué fecha es el dato?</t>
        </is>
      </c>
    </row>
    <row r="10">
      <c r="A10" s="10" t="inlineStr">
        <is>
          <t>F013</t>
        </is>
      </c>
      <c r="B10" s="10" t="inlineStr">
        <is>
          <t>lago/seguridad.json</t>
        </is>
      </c>
      <c r="C10" s="10" t="inlineStr">
        <is>
          <t>cifras.&lt;clave&gt;.estado</t>
        </is>
      </c>
      <c r="D10" s="10" t="inlineStr">
        <is>
          <t>Homicidios · Policía Nacional</t>
        </is>
      </c>
      <c r="E10" s="10" t="inlineStr">
        <is>
          <t>Cómo se obtuvo el dato: observado (leído de la fuente), declarado (sin verificar) o derivado (calculado por nosotros)</t>
        </is>
      </c>
      <c r="F10" s="10" t="inlineStr">
        <is>
          <t>Texto</t>
        </is>
      </c>
      <c r="G10" s="10" t="inlineStr">
        <is>
          <t>n/a</t>
        </is>
      </c>
      <c r="H10" s="10" t="inlineStr">
        <is>
          <t>observado</t>
        </is>
      </c>
      <c r="I10" s="10" t="inlineStr">
        <is>
          <t>No</t>
        </is>
      </c>
      <c r="J10" s="10" t="inlineStr">
        <is>
          <t>observado, declarado, derivado</t>
        </is>
      </c>
      <c r="K10" s="10" t="inlineStr">
        <is>
          <t>Pública</t>
        </is>
      </c>
      <c r="L10" s="10" t="inlineStr">
        <is>
          <t>Se asigna según si se leyó o se calculó</t>
        </is>
      </c>
      <c r="M10" s="10" t="inlineStr">
        <is>
          <t>¿Qué tanto se puede confiar en cada cifra?</t>
        </is>
      </c>
    </row>
    <row r="11">
      <c r="A11" s="10" t="inlineStr">
        <is>
          <t>F013</t>
        </is>
      </c>
      <c r="B11" s="10" t="inlineStr">
        <is>
          <t>lago/seguridad.json</t>
        </is>
      </c>
      <c r="C11" s="10" t="inlineStr">
        <is>
          <t>cifras.&lt;clave&gt;.nota</t>
        </is>
      </c>
      <c r="D11" s="10" t="inlineStr">
        <is>
          <t>Homicidios · Policía Nacional</t>
        </is>
      </c>
      <c r="E11" s="10" t="inlineStr">
        <is>
          <t>Advertencia o aclaración sobre el dato (por ejemplo, año parcial)</t>
        </is>
      </c>
      <c r="F11" s="10" t="inlineStr">
        <is>
          <t>Texto</t>
        </is>
      </c>
      <c r="G11" s="10" t="inlineStr">
        <is>
          <t>n/a</t>
        </is>
      </c>
      <c r="H11" s="10" t="inlineStr">
        <is>
          <t>2026 parcial: hasta el 2026-08-29.</t>
        </is>
      </c>
      <c r="I11" s="10" t="inlineStr">
        <is>
          <t>Sí</t>
        </is>
      </c>
      <c r="J11" s="10" t="inlineStr">
        <is>
          <t>Texto libre</t>
        </is>
      </c>
      <c r="K11" s="10" t="inlineStr">
        <is>
          <t>Pública</t>
        </is>
      </c>
      <c r="L11" s="10" t="inlineStr">
        <is>
          <t>Se redacta al detectar un caso especial</t>
        </is>
      </c>
      <c r="M11" s="10" t="inlineStr">
        <is>
          <t>¿Hay algo que deba saber antes de usar el dato?</t>
        </is>
      </c>
    </row>
    <row r="12">
      <c r="A12" s="10" t="inlineStr">
        <is>
          <t>F013</t>
        </is>
      </c>
      <c r="B12" s="10" t="inlineStr">
        <is>
          <t>lago/seguridad.json</t>
        </is>
      </c>
      <c r="C12" s="10" t="inlineStr">
        <is>
          <t>series.&lt;clave&gt;.puntos</t>
        </is>
      </c>
      <c r="D12" s="10" t="inlineStr">
        <is>
          <t>Homicidios · Policía Nacional</t>
        </is>
      </c>
      <c r="E12" s="10" t="inlineStr">
        <is>
          <t>Serie de tiempo como lista de pares [periodo, valor] (misma estructura en los 12 archivos)</t>
        </is>
      </c>
      <c r="F12" s="10" t="inlineStr">
        <is>
          <t>Texto</t>
        </is>
      </c>
      <c r="G12" s="10" t="inlineStr">
        <is>
          <t>según «unidad»</t>
        </is>
      </c>
      <c r="H12" s="10" t="inlineStr">
        <is>
          <t>["2018", 625]</t>
        </is>
      </c>
      <c r="I12" s="10" t="inlineStr">
        <is>
          <t>No</t>
        </is>
      </c>
      <c r="J12" s="10" t="inlineStr">
        <is>
          <t>Lista de pares; el periodo puede ser año, mes, trimestre o día</t>
        </is>
      </c>
      <c r="K12" s="10" t="inlineStr">
        <is>
          <t>Pública</t>
        </is>
      </c>
      <c r="L12" s="10" t="inlineStr">
        <is>
          <t>Se agrupan los eventos por periodo y se ordenan cronológicamente</t>
        </is>
      </c>
      <c r="M12" s="10" t="inlineStr">
        <is>
          <t>¿Cómo ha cambiado el indicador en el tiempo?</t>
        </is>
      </c>
    </row>
    <row r="13">
      <c r="A13" s="10" t="inlineStr">
        <is>
          <t>F013</t>
        </is>
      </c>
      <c r="B13" s="10" t="inlineStr">
        <is>
          <t>lago/seguridad.json</t>
        </is>
      </c>
      <c r="C13" s="10" t="inlineStr">
        <is>
          <t>probado</t>
        </is>
      </c>
      <c r="D13" s="10" t="inlineStr">
        <is>
          <t>Homicidios · Policía Nacional</t>
        </is>
      </c>
      <c r="E13" s="10" t="inlineStr">
        <is>
          <t>Fecha en que corrió la ingesta y respondieron las fuentes del tema</t>
        </is>
      </c>
      <c r="F13" s="10" t="inlineStr">
        <is>
          <t>Fecha</t>
        </is>
      </c>
      <c r="G13" s="10" t="inlineStr">
        <is>
          <t>n/a</t>
        </is>
      </c>
      <c r="H13" s="10" t="inlineStr">
        <is>
          <t>2026-10-01</t>
        </is>
      </c>
      <c r="I13" s="10" t="inlineStr">
        <is>
          <t>No</t>
        </is>
      </c>
      <c r="J13" s="10" t="inlineStr">
        <is>
          <t>AAAA-MM-DD</t>
        </is>
      </c>
      <c r="K13" s="10" t="inlineStr">
        <is>
          <t>Pública</t>
        </is>
      </c>
      <c r="L13" s="10" t="inlineStr">
        <is>
          <t>Se escribe la fecha del día de la corrida</t>
        </is>
      </c>
      <c r="M13" s="10" t="inlineStr">
        <is>
          <t>¿Qué tan fresco es el archivo?</t>
        </is>
      </c>
    </row>
    <row r="14">
      <c r="A14" s="10" t="inlineStr">
        <is>
          <t>F020</t>
        </is>
      </c>
      <c r="B14" s="10" t="inlineStr">
        <is>
          <t>lago/seguridad.json</t>
        </is>
      </c>
      <c r="C14" s="10" t="inlineStr">
        <is>
          <t>territorios[].codigo</t>
        </is>
      </c>
      <c r="D14" s="10" t="inlineStr">
        <is>
          <t>Homicidio (SISC, georreferenciado)</t>
        </is>
      </c>
      <c r="E14" s="10" t="inlineStr">
        <is>
          <t>Código de la comuna o corregimiento (01–16 comunas, 50–90 corregimientos); estructura repetida en 7 archivos</t>
        </is>
      </c>
      <c r="F14" s="10" t="inlineStr">
        <is>
          <t>Código</t>
        </is>
      </c>
      <c r="G14" s="10" t="inlineStr">
        <is>
          <t>n/a</t>
        </is>
      </c>
      <c r="H14" s="10" t="inlineStr">
        <is>
          <t>01</t>
        </is>
      </c>
      <c r="I14" s="10" t="inlineStr">
        <is>
          <t>No</t>
        </is>
      </c>
      <c r="J14" s="10" t="inlineStr">
        <is>
          <t>Texto de 2 dígitos</t>
        </is>
      </c>
      <c r="K14" s="10" t="inlineStr">
        <is>
          <t>Pública</t>
        </is>
      </c>
      <c r="L14" s="10" t="inlineStr">
        <is>
          <t>Se normaliza el nombre de cada fuente al código oficial del catastro</t>
        </is>
      </c>
      <c r="M14" s="10" t="inlineStr">
        <is>
          <t>¿En qué comuna o corregimiento ocurre el fenómeno?</t>
        </is>
      </c>
    </row>
    <row r="15">
      <c r="A15" s="10" t="inlineStr">
        <is>
          <t>F020</t>
        </is>
      </c>
      <c r="B15" s="10" t="inlineStr">
        <is>
          <t>lago/seguridad.json</t>
        </is>
      </c>
      <c r="C15" s="10" t="inlineStr">
        <is>
          <t>territorios[].valores</t>
        </is>
      </c>
      <c r="D15" s="10" t="inlineStr">
        <is>
          <t>Homicidio (SISC, georreferenciado)</t>
        </is>
      </c>
      <c r="E15" s="10" t="inlineStr">
        <is>
          <t>Valores de cada indicador del territorio, organizados por clave y periodo</t>
        </is>
      </c>
      <c r="F15" s="10" t="inlineStr">
        <is>
          <t>Decimal</t>
        </is>
      </c>
      <c r="G15" s="10" t="inlineStr">
        <is>
          <t>según el indicador</t>
        </is>
      </c>
      <c r="H15" s="10" t="inlineStr">
        <is>
          <t>{"2021–2023": 37}</t>
        </is>
      </c>
      <c r="I15" s="10" t="inlineStr">
        <is>
          <t>Sí</t>
        </is>
      </c>
      <c r="J15" s="10" t="inlineStr">
        <is>
          <t>Objeto {indicador: {periodo: número}}</t>
        </is>
      </c>
      <c r="K15" s="10" t="inlineStr">
        <is>
          <t>Pública</t>
        </is>
      </c>
      <c r="L15" s="10" t="inlineStr">
        <is>
          <t>Se cuentan los eventos con comuna y se divide por la población para las tasas</t>
        </is>
      </c>
      <c r="M15" s="10" t="inlineStr">
        <is>
          <t>¿Cómo se comparan las comunas entre sí?</t>
        </is>
      </c>
    </row>
    <row r="16">
      <c r="A16" s="10" t="inlineStr">
        <is>
          <t>F013</t>
        </is>
      </c>
      <c r="B16" s="10" t="inlineStr">
        <is>
          <t>lago/seguridad.json</t>
        </is>
      </c>
      <c r="C16" s="10" t="inlineStr">
        <is>
          <t>cifras.homicidios.valor</t>
        </is>
      </c>
      <c r="D16" s="10" t="inlineStr">
        <is>
          <t>Homicidios · Policía Nacional</t>
        </is>
      </c>
      <c r="E16" s="10" t="inlineStr">
        <is>
          <t>Homicidios de Medellín en el último año completo (igual para hurto, extorsión, violencia intrafamiliar, delitos sexuales y lesiones)</t>
        </is>
      </c>
      <c r="F16" s="10" t="inlineStr">
        <is>
          <t>Entero</t>
        </is>
      </c>
      <c r="G16" s="10" t="inlineStr">
        <is>
          <t>casos</t>
        </is>
      </c>
      <c r="H16" s="10" t="inlineStr">
        <is>
          <t>333</t>
        </is>
      </c>
      <c r="I16" s="10" t="inlineStr">
        <is>
          <t>No</t>
        </is>
      </c>
      <c r="J16" s="10" t="inlineStr">
        <is>
          <t>≥ 0</t>
        </is>
      </c>
      <c r="K16" s="10" t="inlineStr">
        <is>
          <t>Pública</t>
        </is>
      </c>
      <c r="L16" s="10" t="inlineStr">
        <is>
          <t>Se filtra Medellín y se cuentan los eventos del año</t>
        </is>
      </c>
      <c r="M16" s="10" t="inlineStr">
        <is>
          <t>¿Cuántos homicidios hubo en Medellín?</t>
        </is>
      </c>
    </row>
    <row r="17">
      <c r="A17" s="10" t="inlineStr">
        <is>
          <t>F013</t>
        </is>
      </c>
      <c r="B17" s="10" t="inlineStr">
        <is>
          <t>lago/seguridad.json</t>
        </is>
      </c>
      <c r="C17" s="10" t="inlineStr">
        <is>
          <t>cifras.homicidios_variacion.valor</t>
        </is>
      </c>
      <c r="D17" s="10" t="inlineStr">
        <is>
          <t>Homicidios · Policía Nacional</t>
        </is>
      </c>
      <c r="E17" s="10" t="inlineStr">
        <is>
          <t>Cambio porcentual de los homicidios entre el año en curso y el mismo periodo del año anterior</t>
        </is>
      </c>
      <c r="F17" s="10" t="inlineStr">
        <is>
          <t>Decimal</t>
        </is>
      </c>
      <c r="G17" s="10" t="inlineStr">
        <is>
          <t>%</t>
        </is>
      </c>
      <c r="H17" s="10" t="inlineStr">
        <is>
          <t>-20.0</t>
        </is>
      </c>
      <c r="I17" s="10" t="inlineStr">
        <is>
          <t>No</t>
        </is>
      </c>
      <c r="J17" s="10" t="inlineStr">
        <is>
          <t>Número, positivo o negativo</t>
        </is>
      </c>
      <c r="K17" s="10" t="inlineStr">
        <is>
          <t>Pública</t>
        </is>
      </c>
      <c r="L17" s="10" t="inlineStr">
        <is>
          <t>(casos del año en curso − casos del mismo periodo previo) / casos del periodo previo × 100</t>
        </is>
      </c>
      <c r="M17" s="10" t="inlineStr">
        <is>
          <t>¿La violencia sube o baja frente al año pasado?</t>
        </is>
      </c>
    </row>
    <row r="18">
      <c r="A18" s="10" t="inlineStr">
        <is>
          <t>F013</t>
        </is>
      </c>
      <c r="B18" s="10" t="inlineStr">
        <is>
          <t>lago/seguridad.json</t>
        </is>
      </c>
      <c r="C18" s="10" t="inlineStr">
        <is>
          <t>cifras.homicidios_tasa.valor</t>
        </is>
      </c>
      <c r="D18" s="10" t="inlineStr">
        <is>
          <t>Homicidios · Policía Nacional</t>
        </is>
      </c>
      <c r="E18" s="10" t="inlineStr">
        <is>
          <t>Homicidios por cada 100 mil habitantes, para comparar con otras ciudades</t>
        </is>
      </c>
      <c r="F18" s="10" t="inlineStr">
        <is>
          <t>Decimal</t>
        </is>
      </c>
      <c r="G18" s="10" t="inlineStr">
        <is>
          <t>por 100 mil hab.</t>
        </is>
      </c>
      <c r="H18" s="10" t="inlineStr">
        <is>
          <t>13.17</t>
        </is>
      </c>
      <c r="I18" s="10" t="inlineStr">
        <is>
          <t>No</t>
        </is>
      </c>
      <c r="J18" s="10" t="inlineStr">
        <is>
          <t>≥ 0</t>
        </is>
      </c>
      <c r="K18" s="10" t="inlineStr">
        <is>
          <t>Pública</t>
        </is>
      </c>
      <c r="L18" s="10" t="inlineStr">
        <is>
          <t>casos / población proyectada DANE × 100 000</t>
        </is>
      </c>
      <c r="M18" s="10" t="inlineStr">
        <is>
          <t>¿Qué tan alta es la tasa frente a ciudades de distinto tamaño?</t>
        </is>
      </c>
    </row>
    <row r="19">
      <c r="A19" s="10" t="inlineStr">
        <is>
          <t>F014</t>
        </is>
      </c>
      <c r="B19" s="10" t="inlineStr">
        <is>
          <t>lago/seguridad.json</t>
        </is>
      </c>
      <c r="C19" s="10" t="inlineStr">
        <is>
          <t>cifras.hurto_personas.valor</t>
        </is>
      </c>
      <c r="D19" s="10" t="inlineStr">
        <is>
          <t>Hurto a personas · Policía Nacional</t>
        </is>
      </c>
      <c r="E19" s="10" t="inlineStr">
        <is>
          <t>Hurtos a personas en el último año completo</t>
        </is>
      </c>
      <c r="F19" s="10" t="inlineStr">
        <is>
          <t>Entero</t>
        </is>
      </c>
      <c r="G19" s="10" t="inlineStr">
        <is>
          <t>casos</t>
        </is>
      </c>
      <c r="H19" s="10" t="inlineStr">
        <is>
          <t>24924</t>
        </is>
      </c>
      <c r="I19" s="10" t="inlineStr">
        <is>
          <t>No</t>
        </is>
      </c>
      <c r="J19" s="10" t="inlineStr">
        <is>
          <t>≥ 0</t>
        </is>
      </c>
      <c r="K19" s="10" t="inlineStr">
        <is>
          <t>Pública</t>
        </is>
      </c>
      <c r="L19" s="10" t="inlineStr">
        <is>
          <t>Se filtra Medellín y se cuentan los eventos del año</t>
        </is>
      </c>
      <c r="M19" s="10" t="inlineStr">
        <is>
          <t>¿Cuánto hurto a personas hay en la ciudad?</t>
        </is>
      </c>
    </row>
    <row r="20">
      <c r="A20" s="10" t="inlineStr">
        <is>
          <t>F017</t>
        </is>
      </c>
      <c r="B20" s="10" t="inlineStr">
        <is>
          <t>lago/seguridad.json</t>
        </is>
      </c>
      <c r="C20" s="10" t="inlineStr">
        <is>
          <t>cifras.violencia_intrafamiliar.valor</t>
        </is>
      </c>
      <c r="D20" s="10" t="inlineStr">
        <is>
          <t>Violencia intrafamiliar · Policía Nacional</t>
        </is>
      </c>
      <c r="E20" s="10" t="inlineStr">
        <is>
          <t>Casos de violencia intrafamiliar en el último año completo; se publican sin datos de las víctimas</t>
        </is>
      </c>
      <c r="F20" s="10" t="inlineStr">
        <is>
          <t>Entero</t>
        </is>
      </c>
      <c r="G20" s="10" t="inlineStr">
        <is>
          <t>casos</t>
        </is>
      </c>
      <c r="H20" s="10" t="inlineStr">
        <is>
          <t>10638</t>
        </is>
      </c>
      <c r="I20" s="10" t="inlineStr">
        <is>
          <t>No</t>
        </is>
      </c>
      <c r="J20" s="10" t="inlineStr">
        <is>
          <t>≥ 0</t>
        </is>
      </c>
      <c r="K20" s="10" t="inlineStr">
        <is>
          <t>Pública</t>
        </is>
      </c>
      <c r="L20" s="10" t="inlineStr">
        <is>
          <t>Se filtra Medellín y se cuentan los eventos del año</t>
        </is>
      </c>
      <c r="M20" s="10" t="inlineStr">
        <is>
          <t>¿Qué tan frecuente es la violencia dentro del hogar?</t>
        </is>
      </c>
    </row>
    <row r="21">
      <c r="A21" s="10" t="inlineStr">
        <is>
          <t>F013</t>
        </is>
      </c>
      <c r="B21" s="10" t="inlineStr">
        <is>
          <t>lago/seguridad.json</t>
        </is>
      </c>
      <c r="C21" s="10" t="inlineStr">
        <is>
          <t>series.homicidios_mensual.puntos</t>
        </is>
      </c>
      <c r="D21" s="10" t="inlineStr">
        <is>
          <t>Homicidios · Policía Nacional</t>
        </is>
      </c>
      <c r="E21" s="10" t="inlineStr">
        <is>
          <t>Homicidios por mes, para ver estacionalidad y tendencia reciente</t>
        </is>
      </c>
      <c r="F21" s="10" t="inlineStr">
        <is>
          <t>Entero</t>
        </is>
      </c>
      <c r="G21" s="10" t="inlineStr">
        <is>
          <t>casos</t>
        </is>
      </c>
      <c r="H21" s="10" t="inlineStr">
        <is>
          <t>["2024-01", 26]</t>
        </is>
      </c>
      <c r="I21" s="10" t="inlineStr">
        <is>
          <t>No</t>
        </is>
      </c>
      <c r="J21" s="10" t="inlineStr">
        <is>
          <t>Pares [AAAA-MM, casos]</t>
        </is>
      </c>
      <c r="K21" s="10" t="inlineStr">
        <is>
          <t>Pública</t>
        </is>
      </c>
      <c r="L21" s="10" t="inlineStr">
        <is>
          <t>La fecha del hecho se pasa a AAAA-MM y se cuenta por mes</t>
        </is>
      </c>
      <c r="M21" s="10" t="inlineStr">
        <is>
          <t>¿Hay meses más violentos que otros?</t>
        </is>
      </c>
    </row>
    <row r="22">
      <c r="A22" s="10" t="inlineStr">
        <is>
          <t>F020</t>
        </is>
      </c>
      <c r="B22" s="10" t="inlineStr">
        <is>
          <t>lago/seguridad.json</t>
        </is>
      </c>
      <c r="C22" s="10" t="inlineStr">
        <is>
          <t>listas.sisc_ranking_homicidio[].casos</t>
        </is>
      </c>
      <c r="D22" s="10" t="inlineStr">
        <is>
          <t>Homicidio (SISC, georreferenciado)</t>
        </is>
      </c>
      <c r="E22" s="10" t="inlineStr">
        <is>
          <t>Homicidios por comuna entre 2021 y 2023 (histórico del SISC), ordenados de mayor a menor</t>
        </is>
      </c>
      <c r="F22" s="10" t="inlineStr">
        <is>
          <t>Entero</t>
        </is>
      </c>
      <c r="G22" s="10" t="inlineStr">
        <is>
          <t>casos</t>
        </is>
      </c>
      <c r="H22" s="10" t="inlineStr">
        <is>
          <t>225</t>
        </is>
      </c>
      <c r="I22" s="10" t="inlineStr">
        <is>
          <t>No</t>
        </is>
      </c>
      <c r="J22" s="10" t="inlineStr">
        <is>
          <t>≥ 0</t>
        </is>
      </c>
      <c r="K22" s="10" t="inlineStr">
        <is>
          <t>Pública</t>
        </is>
      </c>
      <c r="L22" s="10" t="inlineStr">
        <is>
          <t>Se asigna cada evento a su comuna diligenciada y se cuenta</t>
        </is>
      </c>
      <c r="M22" s="10" t="inlineStr">
        <is>
          <t>¿Dónde se concentra el delito?</t>
        </is>
      </c>
    </row>
    <row r="23">
      <c r="A23" s="10" t="inlineStr">
        <is>
          <t>F020</t>
        </is>
      </c>
      <c r="B23" s="10" t="inlineStr">
        <is>
          <t>lago/seguridad.json</t>
        </is>
      </c>
      <c r="C23" s="10" t="inlineStr">
        <is>
          <t>listas.sisc_ranking_homicidio[].tasa_x10mil</t>
        </is>
      </c>
      <c r="D23" s="10" t="inlineStr">
        <is>
          <t>Homicidio (SISC, georreferenciado)</t>
        </is>
      </c>
      <c r="E23" s="10" t="inlineStr">
        <is>
          <t>Casos por cada 10 mil habitantes de la comuna en 2021–2023</t>
        </is>
      </c>
      <c r="F23" s="10" t="inlineStr">
        <is>
          <t>Decimal</t>
        </is>
      </c>
      <c r="G23" s="10" t="inlineStr">
        <is>
          <t>por 10 mil hab.</t>
        </is>
      </c>
      <c r="H23" s="10" t="inlineStr">
        <is>
          <t>27.81</t>
        </is>
      </c>
      <c r="I23" s="10" t="inlineStr">
        <is>
          <t>No</t>
        </is>
      </c>
      <c r="J23" s="10" t="inlineStr">
        <is>
          <t>≥ 0</t>
        </is>
      </c>
      <c r="K23" s="10" t="inlineStr">
        <is>
          <t>Pública</t>
        </is>
      </c>
      <c r="L23" s="10" t="inlineStr">
        <is>
          <t>casos / población de la comuna × 10 000</t>
        </is>
      </c>
      <c r="M23" s="10" t="inlineStr">
        <is>
          <t>¿Qué comunas son más inseguras al ajustar por población?</t>
        </is>
      </c>
    </row>
    <row r="24">
      <c r="A24" s="10" t="inlineStr">
        <is>
          <t>F001</t>
        </is>
      </c>
      <c r="B24" s="10" t="inlineStr">
        <is>
          <t>lago/demografia.json</t>
        </is>
      </c>
      <c r="C24" s="10" t="inlineStr">
        <is>
          <t>cifras.poblacion.valor</t>
        </is>
      </c>
      <c r="D24" s="10" t="inlineStr">
        <is>
          <t>Proyecciones de población municipal por área 2018–2042 (PPED, actualización de julio de 2025)</t>
        </is>
      </c>
      <c r="E24" s="10" t="inlineStr">
        <is>
          <t>Habitantes proyectados de Medellín para el año en curso</t>
        </is>
      </c>
      <c r="F24" s="10" t="inlineStr">
        <is>
          <t>Entero</t>
        </is>
      </c>
      <c r="G24" s="10" t="inlineStr">
        <is>
          <t>habitantes</t>
        </is>
      </c>
      <c r="H24" s="10" t="inlineStr">
        <is>
          <t>2526795</t>
        </is>
      </c>
      <c r="I24" s="10" t="inlineStr">
        <is>
          <t>No</t>
        </is>
      </c>
      <c r="J24" s="10" t="inlineStr">
        <is>
          <t>&gt; 0</t>
        </is>
      </c>
      <c r="K24" s="10" t="inlineStr">
        <is>
          <t>Pública</t>
        </is>
      </c>
      <c r="L24" s="10" t="inlineStr">
        <is>
          <t>Se toma la fila de Medellín y el año vigente de la hoja de proyecciones</t>
        </is>
      </c>
      <c r="M24" s="10" t="inlineStr">
        <is>
          <t>¿Cuántas personas viven en la ciudad?</t>
        </is>
      </c>
    </row>
    <row r="25">
      <c r="A25" s="10" t="inlineStr">
        <is>
          <t>F001</t>
        </is>
      </c>
      <c r="B25" s="10" t="inlineStr">
        <is>
          <t>lago/demografia.json</t>
        </is>
      </c>
      <c r="C25" s="10" t="inlineStr">
        <is>
          <t>cifras.poblacion_rural.valor</t>
        </is>
      </c>
      <c r="D25" s="10" t="inlineStr">
        <is>
          <t>Proyecciones de población municipal por área 2018–2042 (PPED, actualización de julio de 2025)</t>
        </is>
      </c>
      <c r="E25" s="10" t="inlineStr">
        <is>
          <t>Habitantes en centros poblados y rural disperso</t>
        </is>
      </c>
      <c r="F25" s="10" t="inlineStr">
        <is>
          <t>Entero</t>
        </is>
      </c>
      <c r="G25" s="10" t="inlineStr">
        <is>
          <t>habitantes</t>
        </is>
      </c>
      <c r="H25" s="10" t="inlineStr">
        <is>
          <t>48578</t>
        </is>
      </c>
      <c r="I25" s="10" t="inlineStr">
        <is>
          <t>No</t>
        </is>
      </c>
      <c r="J25" s="10" t="inlineStr">
        <is>
          <t>≥ 0</t>
        </is>
      </c>
      <c r="K25" s="10" t="inlineStr">
        <is>
          <t>Pública</t>
        </is>
      </c>
      <c r="L25" s="10" t="inlineStr">
        <is>
          <t>Se toma la columna de población rural de Medellín</t>
        </is>
      </c>
      <c r="M25" s="10" t="inlineStr">
        <is>
          <t>¿Qué parte de la población vive en zona rural?</t>
        </is>
      </c>
    </row>
    <row r="26">
      <c r="A26" s="10" t="inlineStr">
        <is>
          <t>F001</t>
        </is>
      </c>
      <c r="B26" s="10" t="inlineStr">
        <is>
          <t>lago/demografia.json</t>
        </is>
      </c>
      <c r="C26" s="10" t="inlineStr">
        <is>
          <t>cifras.participacion_medellin_amva.valor</t>
        </is>
      </c>
      <c r="D26" s="10" t="inlineStr">
        <is>
          <t>Proyecciones de población municipal por área 2018–2042 (PPED, actualización de julio de 2025)</t>
        </is>
      </c>
      <c r="E26" s="10" t="inlineStr">
        <is>
          <t>Parte de la población del Valle de Aburrá que vive en Medellín</t>
        </is>
      </c>
      <c r="F26" s="10" t="inlineStr">
        <is>
          <t>Decimal</t>
        </is>
      </c>
      <c r="G26" s="10" t="inlineStr">
        <is>
          <t>%</t>
        </is>
      </c>
      <c r="H26" s="10" t="inlineStr">
        <is>
          <t>60.0</t>
        </is>
      </c>
      <c r="I26" s="10" t="inlineStr">
        <is>
          <t>No</t>
        </is>
      </c>
      <c r="J26" s="10" t="inlineStr">
        <is>
          <t>0–100</t>
        </is>
      </c>
      <c r="K26" s="10" t="inlineStr">
        <is>
          <t>Pública</t>
        </is>
      </c>
      <c r="L26" s="10" t="inlineStr">
        <is>
          <t>población de Medellín / población del AMVA × 100</t>
        </is>
      </c>
      <c r="M26" s="10" t="inlineStr">
        <is>
          <t>¿Qué tanto pesa Medellín en el área metropolitana?</t>
        </is>
      </c>
    </row>
    <row r="27">
      <c r="A27" s="10" t="inlineStr">
        <is>
          <t>F002</t>
        </is>
      </c>
      <c r="B27" s="10" t="inlineStr">
        <is>
          <t>lago/demografia.json</t>
        </is>
      </c>
      <c r="C27" s="10" t="inlineStr">
        <is>
          <t>cifras.edad_mediana.valor</t>
        </is>
      </c>
      <c r="D27" s="10" t="inlineStr">
        <is>
          <t>Proyecciones de población municipal por área, sexo y edad 2018–2042 (PPED)</t>
        </is>
      </c>
      <c r="E27" s="10" t="inlineStr">
        <is>
          <t>Edad que divide a la población en dos mitades iguales</t>
        </is>
      </c>
      <c r="F27" s="10" t="inlineStr">
        <is>
          <t>Decimal</t>
        </is>
      </c>
      <c r="G27" s="10" t="inlineStr">
        <is>
          <t>años</t>
        </is>
      </c>
      <c r="H27" s="10" t="inlineStr">
        <is>
          <t>35</t>
        </is>
      </c>
      <c r="I27" s="10" t="inlineStr">
        <is>
          <t>No</t>
        </is>
      </c>
      <c r="J27" s="10" t="inlineStr">
        <is>
          <t>&gt; 0</t>
        </is>
      </c>
      <c r="K27" s="10" t="inlineStr">
        <is>
          <t>Pública</t>
        </is>
      </c>
      <c r="L27" s="10" t="inlineStr">
        <is>
          <t>Se calcula sobre la población por edad simple</t>
        </is>
      </c>
      <c r="M27" s="10" t="inlineStr">
        <is>
          <t>¿Qué tan envejecida está la ciudad?</t>
        </is>
      </c>
    </row>
    <row r="28">
      <c r="A28" s="10" t="inlineStr">
        <is>
          <t>F002</t>
        </is>
      </c>
      <c r="B28" s="10" t="inlineStr">
        <is>
          <t>lago/demografia.json</t>
        </is>
      </c>
      <c r="C28" s="10" t="inlineStr">
        <is>
          <t>cifras.poblacion_60_mas.valor</t>
        </is>
      </c>
      <c r="D28" s="10" t="inlineStr">
        <is>
          <t>Proyecciones de población municipal por área, sexo y edad 2018–2042 (PPED)</t>
        </is>
      </c>
      <c r="E28" s="10" t="inlineStr">
        <is>
          <t>Parte de la población con 60 años o más</t>
        </is>
      </c>
      <c r="F28" s="10" t="inlineStr">
        <is>
          <t>Decimal</t>
        </is>
      </c>
      <c r="G28" s="10" t="inlineStr">
        <is>
          <t>%</t>
        </is>
      </c>
      <c r="H28" s="10" t="inlineStr">
        <is>
          <t>18.7</t>
        </is>
      </c>
      <c r="I28" s="10" t="inlineStr">
        <is>
          <t>No</t>
        </is>
      </c>
      <c r="J28" s="10" t="inlineStr">
        <is>
          <t>0–100</t>
        </is>
      </c>
      <c r="K28" s="10" t="inlineStr">
        <is>
          <t>Pública</t>
        </is>
      </c>
      <c r="L28" s="10" t="inlineStr">
        <is>
          <t>personas de 60+ / población total × 100</t>
        </is>
      </c>
      <c r="M28" s="10" t="inlineStr">
        <is>
          <t>¿Cuánta población mayor requiere servicios de cuidado y salud?</t>
        </is>
      </c>
    </row>
    <row r="29">
      <c r="A29" s="10" t="inlineStr">
        <is>
          <t>F002</t>
        </is>
      </c>
      <c r="B29" s="10" t="inlineStr">
        <is>
          <t>lago/demografia.json</t>
        </is>
      </c>
      <c r="C29" s="10" t="inlineStr">
        <is>
          <t>listas.piramide[].hombres</t>
        </is>
      </c>
      <c r="D29" s="10" t="inlineStr">
        <is>
          <t>Proyecciones de población municipal por área, sexo y edad 2018–2042 (PPED)</t>
        </is>
      </c>
      <c r="E29" s="10" t="inlineStr">
        <is>
          <t>Hombres de cada grupo quinquenal de edad en un año</t>
        </is>
      </c>
      <c r="F29" s="10" t="inlineStr">
        <is>
          <t>Entero</t>
        </is>
      </c>
      <c r="G29" s="10" t="inlineStr">
        <is>
          <t>habitantes</t>
        </is>
      </c>
      <c r="H29" s="10" t="inlineStr">
        <is>
          <t>72886</t>
        </is>
      </c>
      <c r="I29" s="10" t="inlineStr">
        <is>
          <t>No</t>
        </is>
      </c>
      <c r="J29" s="10" t="inlineStr">
        <is>
          <t>≥ 0</t>
        </is>
      </c>
      <c r="K29" s="10" t="inlineStr">
        <is>
          <t>Pública</t>
        </is>
      </c>
      <c r="L29" s="10" t="inlineStr">
        <is>
          <t>Las edades simples se agrupan en tramos de 5 años</t>
        </is>
      </c>
      <c r="M29" s="10" t="inlineStr">
        <is>
          <t>¿Cómo está compuesta la población por edad y sexo?</t>
        </is>
      </c>
    </row>
    <row r="30">
      <c r="A30" s="10" t="inlineStr">
        <is>
          <t>F002</t>
        </is>
      </c>
      <c r="B30" s="10" t="inlineStr">
        <is>
          <t>lago/demografia.json</t>
        </is>
      </c>
      <c r="C30" s="10" t="inlineStr">
        <is>
          <t>listas.piramide[].mujeres</t>
        </is>
      </c>
      <c r="D30" s="10" t="inlineStr">
        <is>
          <t>Proyecciones de población municipal por área, sexo y edad 2018–2042 (PPED)</t>
        </is>
      </c>
      <c r="E30" s="10" t="inlineStr">
        <is>
          <t>Mujeres de cada grupo quinquenal de edad en un año</t>
        </is>
      </c>
      <c r="F30" s="10" t="inlineStr">
        <is>
          <t>Entero</t>
        </is>
      </c>
      <c r="G30" s="10" t="inlineStr">
        <is>
          <t>habitantes</t>
        </is>
      </c>
      <c r="H30" s="10" t="inlineStr">
        <is>
          <t>69873</t>
        </is>
      </c>
      <c r="I30" s="10" t="inlineStr">
        <is>
          <t>No</t>
        </is>
      </c>
      <c r="J30" s="10" t="inlineStr">
        <is>
          <t>≥ 0</t>
        </is>
      </c>
      <c r="K30" s="10" t="inlineStr">
        <is>
          <t>Pública</t>
        </is>
      </c>
      <c r="L30" s="10" t="inlineStr">
        <is>
          <t>Las edades simples se agrupan en tramos de 5 años</t>
        </is>
      </c>
      <c r="M30" s="10" t="inlineStr">
        <is>
          <t>¿Cómo está compuesta la población por edad y sexo?</t>
        </is>
      </c>
    </row>
    <row r="31">
      <c r="A31" s="10" t="inlineStr">
        <is>
          <t>F001</t>
        </is>
      </c>
      <c r="B31" s="10" t="inlineStr">
        <is>
          <t>lago/demografia.json</t>
        </is>
      </c>
      <c r="C31" s="10" t="inlineStr">
        <is>
          <t>series.poblacion_total.puntos</t>
        </is>
      </c>
      <c r="D31" s="10" t="inlineStr">
        <is>
          <t>Proyecciones de población municipal por área 2018–2042 (PPED, actualización de julio de 2025)</t>
        </is>
      </c>
      <c r="E31" s="10" t="inlineStr">
        <is>
          <t>Población proyectada de Medellín de 2018 a 2042</t>
        </is>
      </c>
      <c r="F31" s="10" t="inlineStr">
        <is>
          <t>Entero</t>
        </is>
      </c>
      <c r="G31" s="10" t="inlineStr">
        <is>
          <t>habitantes</t>
        </is>
      </c>
      <c r="H31" s="10" t="inlineStr">
        <is>
          <t>[2018, 2427133]</t>
        </is>
      </c>
      <c r="I31" s="10" t="inlineStr">
        <is>
          <t>No</t>
        </is>
      </c>
      <c r="J31" s="10" t="inlineStr">
        <is>
          <t>Pares [año, habitantes]</t>
        </is>
      </c>
      <c r="K31" s="10" t="inlineStr">
        <is>
          <t>Pública</t>
        </is>
      </c>
      <c r="L31" s="10" t="inlineStr">
        <is>
          <t>Se toma una fila por año de la hoja de proyecciones</t>
        </is>
      </c>
      <c r="M31" s="10" t="inlineStr">
        <is>
          <t>¿Va a crecer o a decrecer la población?</t>
        </is>
      </c>
    </row>
    <row r="32">
      <c r="A32" s="10" t="inlineStr">
        <is>
          <t>F003</t>
        </is>
      </c>
      <c r="B32" s="10" t="inlineStr">
        <is>
          <t>lago/demografia.json</t>
        </is>
      </c>
      <c r="C32" s="10" t="inlineStr">
        <is>
          <t>cifras.hogares.valor</t>
        </is>
      </c>
      <c r="D32" s="10" t="inlineStr">
        <is>
          <t>Proyecciones de población, hogares y viviendas 2018–2030 por comuna y corregimiento</t>
        </is>
      </c>
      <c r="E32" s="10" t="inlineStr">
        <is>
          <t>Hogares proyectados de Medellín</t>
        </is>
      </c>
      <c r="F32" s="10" t="inlineStr">
        <is>
          <t>Entero</t>
        </is>
      </c>
      <c r="G32" s="10" t="inlineStr">
        <is>
          <t>hogares</t>
        </is>
      </c>
      <c r="H32" s="10" t="inlineStr">
        <is>
          <t>1074266</t>
        </is>
      </c>
      <c r="I32" s="10" t="inlineStr">
        <is>
          <t>No</t>
        </is>
      </c>
      <c r="J32" s="10" t="inlineStr">
        <is>
          <t>&gt; 0</t>
        </is>
      </c>
      <c r="K32" s="10" t="inlineStr">
        <is>
          <t>Pública</t>
        </is>
      </c>
      <c r="L32" s="10" t="inlineStr">
        <is>
          <t>Se suman los valores por comuna y corregimiento</t>
        </is>
      </c>
      <c r="M32" s="10" t="inlineStr">
        <is>
          <t>¿Cuántos hogares necesitan vivienda y servicios?</t>
        </is>
      </c>
    </row>
    <row r="33">
      <c r="A33" s="10" t="inlineStr">
        <is>
          <t>F003</t>
        </is>
      </c>
      <c r="B33" s="10" t="inlineStr">
        <is>
          <t>lago/demografia.json</t>
        </is>
      </c>
      <c r="C33" s="10" t="inlineStr">
        <is>
          <t>cifras.personas_por_hogar.valor</t>
        </is>
      </c>
      <c r="D33" s="10" t="inlineStr">
        <is>
          <t>Proyecciones de población, hogares y viviendas 2018–2030 por comuna y corregimiento</t>
        </is>
      </c>
      <c r="E33" s="10" t="inlineStr">
        <is>
          <t>Tamaño promedio del hogar</t>
        </is>
      </c>
      <c r="F33" s="10" t="inlineStr">
        <is>
          <t>Decimal</t>
        </is>
      </c>
      <c r="G33" s="10" t="inlineStr">
        <is>
          <t>personas</t>
        </is>
      </c>
      <c r="H33" s="10" t="inlineStr">
        <is>
          <t>2.6</t>
        </is>
      </c>
      <c r="I33" s="10" t="inlineStr">
        <is>
          <t>No</t>
        </is>
      </c>
      <c r="J33" s="10" t="inlineStr">
        <is>
          <t>&gt; 0</t>
        </is>
      </c>
      <c r="K33" s="10" t="inlineStr">
        <is>
          <t>Pública</t>
        </is>
      </c>
      <c r="L33" s="10" t="inlineStr">
        <is>
          <t>población proyectada / hogares proyectados</t>
        </is>
      </c>
      <c r="M33" s="10" t="inlineStr">
        <is>
          <t>¿Qué tan grandes son los hogares?</t>
        </is>
      </c>
    </row>
    <row r="34">
      <c r="A34" s="10" t="inlineStr">
        <is>
          <t>F005</t>
        </is>
      </c>
      <c r="B34" s="10" t="inlineStr">
        <is>
          <t>lago/demografia.json</t>
        </is>
      </c>
      <c r="C34" s="10" t="inlineStr">
        <is>
          <t>cifras.manzanas_estrato_1.valor</t>
        </is>
      </c>
      <c r="D34" s="10" t="inlineStr">
        <is>
          <t>Estadística de estratificación por manzana (catastro)</t>
        </is>
      </c>
      <c r="E34" s="10" t="inlineStr">
        <is>
          <t>Parte de las manzanas de la ciudad que son de estrato 1</t>
        </is>
      </c>
      <c r="F34" s="10" t="inlineStr">
        <is>
          <t>Decimal</t>
        </is>
      </c>
      <c r="G34" s="10" t="inlineStr">
        <is>
          <t>%</t>
        </is>
      </c>
      <c r="H34" s="10" t="inlineStr">
        <is>
          <t>21.6</t>
        </is>
      </c>
      <c r="I34" s="10" t="inlineStr">
        <is>
          <t>No</t>
        </is>
      </c>
      <c r="J34" s="10" t="inlineStr">
        <is>
          <t>0–100</t>
        </is>
      </c>
      <c r="K34" s="10" t="inlineStr">
        <is>
          <t>Pública</t>
        </is>
      </c>
      <c r="L34" s="10" t="inlineStr">
        <is>
          <t>manzanas de estrato 1 / manzanas estratificadas × 100</t>
        </is>
      </c>
      <c r="M34" s="10" t="inlineStr">
        <is>
          <t>¿Qué tan desigual es la ciudad por estrato?</t>
        </is>
      </c>
    </row>
    <row r="35">
      <c r="A35" s="10" t="inlineStr">
        <is>
          <t>F006</t>
        </is>
      </c>
      <c r="B35" s="10" t="inlineStr">
        <is>
          <t>lago/demografia.json</t>
        </is>
      </c>
      <c r="C35" s="10" t="inlineStr">
        <is>
          <t>cifras.natalidad_total.valor</t>
        </is>
      </c>
      <c r="D35" s="10" t="inlineStr">
        <is>
          <t>Eventos de salud por comuna y corregimiento: natalidad, mortalidad y dengue (SIVIGILA)</t>
        </is>
      </c>
      <c r="E35" s="10" t="inlineStr">
        <is>
          <t>Nacidos vivos de Medellín en el último año publicado</t>
        </is>
      </c>
      <c r="F35" s="10" t="inlineStr">
        <is>
          <t>Entero</t>
        </is>
      </c>
      <c r="G35" s="10" t="inlineStr">
        <is>
          <t>nacidos vivos</t>
        </is>
      </c>
      <c r="H35" s="10" t="inlineStr">
        <is>
          <t>21658</t>
        </is>
      </c>
      <c r="I35" s="10" t="inlineStr">
        <is>
          <t>No</t>
        </is>
      </c>
      <c r="J35" s="10" t="inlineStr">
        <is>
          <t>≥ 0</t>
        </is>
      </c>
      <c r="K35" s="10" t="inlineStr">
        <is>
          <t>Pública</t>
        </is>
      </c>
      <c r="L35" s="10" t="inlineStr">
        <is>
          <t>Se suman los valores de todas las comunas y corregimientos</t>
        </is>
      </c>
      <c r="M35" s="10" t="inlineStr">
        <is>
          <t>¿Cuántos nacimientos hay y dónde?</t>
        </is>
      </c>
    </row>
    <row r="36">
      <c r="A36" s="10" t="inlineStr">
        <is>
          <t>F006</t>
        </is>
      </c>
      <c r="B36" s="10" t="inlineStr">
        <is>
          <t>lago/demografia.json</t>
        </is>
      </c>
      <c r="C36" s="10" t="inlineStr">
        <is>
          <t>cifras.mortalidad_total.valor</t>
        </is>
      </c>
      <c r="D36" s="10" t="inlineStr">
        <is>
          <t>Eventos de salud por comuna y corregimiento: natalidad, mortalidad y dengue (SIVIGILA)</t>
        </is>
      </c>
      <c r="E36" s="10" t="inlineStr">
        <is>
          <t>Defunciones de Medellín en el último año publicado</t>
        </is>
      </c>
      <c r="F36" s="10" t="inlineStr">
        <is>
          <t>Entero</t>
        </is>
      </c>
      <c r="G36" s="10" t="inlineStr">
        <is>
          <t>defunciones</t>
        </is>
      </c>
      <c r="H36" s="10" t="inlineStr">
        <is>
          <t>16962</t>
        </is>
      </c>
      <c r="I36" s="10" t="inlineStr">
        <is>
          <t>No</t>
        </is>
      </c>
      <c r="J36" s="10" t="inlineStr">
        <is>
          <t>≥ 0</t>
        </is>
      </c>
      <c r="K36" s="10" t="inlineStr">
        <is>
          <t>Pública</t>
        </is>
      </c>
      <c r="L36" s="10" t="inlineStr">
        <is>
          <t>Se suman los valores de todas las comunas y corregimientos</t>
        </is>
      </c>
      <c r="M36" s="10" t="inlineStr">
        <is>
          <t>¿Cuántas muertes hay y dónde?</t>
        </is>
      </c>
    </row>
    <row r="37">
      <c r="A37" s="10" t="inlineStr">
        <is>
          <t>F007</t>
        </is>
      </c>
      <c r="B37" s="10" t="inlineStr">
        <is>
          <t>lago/economia.json</t>
        </is>
      </c>
      <c r="C37" s="10" t="inlineStr">
        <is>
          <t>cifras.desempleo.valor</t>
        </is>
      </c>
      <c r="D37" s="10" t="inlineStr">
        <is>
          <t>Gran Encuesta Integrada de Hogares · anexo 23 ciudades</t>
        </is>
      </c>
      <c r="E37" s="10" t="inlineStr">
        <is>
          <t>Porcentaje de la población activa que busca empleo y no lo tiene</t>
        </is>
      </c>
      <c r="F37" s="10" t="inlineStr">
        <is>
          <t>Decimal</t>
        </is>
      </c>
      <c r="G37" s="10" t="inlineStr">
        <is>
          <t>%</t>
        </is>
      </c>
      <c r="H37" s="10" t="inlineStr">
        <is>
          <t>6.97</t>
        </is>
      </c>
      <c r="I37" s="10" t="inlineStr">
        <is>
          <t>No</t>
        </is>
      </c>
      <c r="J37" s="10" t="inlineStr">
        <is>
          <t>0–100</t>
        </is>
      </c>
      <c r="K37" s="10" t="inlineStr">
        <is>
          <t>Pública</t>
        </is>
      </c>
      <c r="L37" s="10" t="inlineStr">
        <is>
          <t>Se toma el último trimestre móvil de la hoja de Medellín A.M.</t>
        </is>
      </c>
      <c r="M37" s="10" t="inlineStr">
        <is>
          <t>¿Cuánto desempleo hay hoy?</t>
        </is>
      </c>
    </row>
    <row r="38">
      <c r="A38" s="10" t="inlineStr">
        <is>
          <t>F007</t>
        </is>
      </c>
      <c r="B38" s="10" t="inlineStr">
        <is>
          <t>lago/economia.json</t>
        </is>
      </c>
      <c r="C38" s="10" t="inlineStr">
        <is>
          <t>series.desempleo_trimestral.puntos</t>
        </is>
      </c>
      <c r="D38" s="10" t="inlineStr">
        <is>
          <t>Gran Encuesta Integrada de Hogares · anexo 23 ciudades</t>
        </is>
      </c>
      <c r="E38" s="10" t="inlineStr">
        <is>
          <t>Desempleo trimestre a trimestre desde 2007</t>
        </is>
      </c>
      <c r="F38" s="10" t="inlineStr">
        <is>
          <t>Decimal</t>
        </is>
      </c>
      <c r="G38" s="10" t="inlineStr">
        <is>
          <t>%</t>
        </is>
      </c>
      <c r="H38" s="10" t="inlineStr">
        <is>
          <t>["ene–mar 2007", 14.82]</t>
        </is>
      </c>
      <c r="I38" s="10" t="inlineStr">
        <is>
          <t>No</t>
        </is>
      </c>
      <c r="J38" s="10" t="inlineStr">
        <is>
          <t>Pares [trimestre móvil, %]</t>
        </is>
      </c>
      <c r="K38" s="10" t="inlineStr">
        <is>
          <t>Pública</t>
        </is>
      </c>
      <c r="L38" s="10" t="inlineStr">
        <is>
          <t>Se leen las filas de la hoja y se arma un par por trimestre</t>
        </is>
      </c>
      <c r="M38" s="10" t="inlineStr">
        <is>
          <t>¿Cómo ha evolucionado el empleo en el tiempo?</t>
        </is>
      </c>
    </row>
    <row r="39">
      <c r="A39" s="10" t="inlineStr">
        <is>
          <t>F008</t>
        </is>
      </c>
      <c r="B39" s="10" t="inlineStr">
        <is>
          <t>lago/economia.json</t>
        </is>
      </c>
      <c r="C39" s="10" t="inlineStr">
        <is>
          <t>listas.vivienda_por_estrato[].venta_m2</t>
        </is>
      </c>
      <c r="D39" s="10" t="inlineStr">
        <is>
          <t>Observatorio Inmobiliario de Medellín (OIME): ofertas de vivienda investigadas por el Catastro</t>
        </is>
      </c>
      <c r="E39" s="10" t="inlineStr">
        <is>
          <t>Mediana del precio de oferta por m² de vivienda en venta, por estrato</t>
        </is>
      </c>
      <c r="F39" s="10" t="inlineStr">
        <is>
          <t>Decimal</t>
        </is>
      </c>
      <c r="G39" s="10" t="inlineStr">
        <is>
          <t>$/m²</t>
        </is>
      </c>
      <c r="H39" s="10" t="inlineStr">
        <is>
          <t>1186050</t>
        </is>
      </c>
      <c r="I39" s="10" t="inlineStr">
        <is>
          <t>No</t>
        </is>
      </c>
      <c r="J39" s="10" t="inlineStr">
        <is>
          <t>&gt; 0</t>
        </is>
      </c>
      <c r="K39" s="10" t="inlineStr">
        <is>
          <t>Pública</t>
        </is>
      </c>
      <c r="L39" s="10" t="inlineStr">
        <is>
          <t>Se calcula la mediana de precio/m² por estrato y año</t>
        </is>
      </c>
      <c r="M39" s="10" t="inlineStr">
        <is>
          <t>¿Cuánto cuesta comprar vivienda según el estrato?</t>
        </is>
      </c>
    </row>
    <row r="40">
      <c r="A40" s="10" t="inlineStr">
        <is>
          <t>F008</t>
        </is>
      </c>
      <c r="B40" s="10" t="inlineStr">
        <is>
          <t>lago/economia.json</t>
        </is>
      </c>
      <c r="C40" s="10" t="inlineStr">
        <is>
          <t>listas.vivienda_por_estrato[].rentabilidad_bruta</t>
        </is>
      </c>
      <c r="D40" s="10" t="inlineStr">
        <is>
          <t>Observatorio Inmobiliario de Medellín (OIME): ofertas de vivienda investigadas por el Catastro</t>
        </is>
      </c>
      <c r="E40" s="10" t="inlineStr">
        <is>
          <t>Arriendo anual como porcentaje del precio de venta</t>
        </is>
      </c>
      <c r="F40" s="10" t="inlineStr">
        <is>
          <t>Decimal</t>
        </is>
      </c>
      <c r="G40" s="10" t="inlineStr">
        <is>
          <t>%</t>
        </is>
      </c>
      <c r="H40" s="10" t="inlineStr">
        <is>
          <t>18.16</t>
        </is>
      </c>
      <c r="I40" s="10" t="inlineStr">
        <is>
          <t>Sí</t>
        </is>
      </c>
      <c r="J40" s="10" t="inlineStr">
        <is>
          <t>≥ 0</t>
        </is>
      </c>
      <c r="K40" s="10" t="inlineStr">
        <is>
          <t>Pública</t>
        </is>
      </c>
      <c r="L40" s="10" t="inlineStr">
        <is>
          <t>arriendo por m² × 12 / venta por m² × 100</t>
        </is>
      </c>
      <c r="M40" s="10" t="inlineStr">
        <is>
          <t>¿Qué tan rentable es invertir en vivienda?</t>
        </is>
      </c>
    </row>
    <row r="41">
      <c r="A41" s="10" t="inlineStr">
        <is>
          <t>F009</t>
        </is>
      </c>
      <c r="B41" s="10" t="inlineStr">
        <is>
          <t>lago/economia.json</t>
        </is>
      </c>
      <c r="C41" s="10" t="inlineStr">
        <is>
          <t>cifras.valor_suelo_mediana.valor</t>
        </is>
      </c>
      <c r="D41" s="10" t="inlineStr">
        <is>
          <t>Zonas de valor catastral del suelo de Medellín</t>
        </is>
      </c>
      <c r="E41" s="10" t="inlineStr">
        <is>
          <t>Mediana del valor catastral del suelo entre las zonas de la ciudad</t>
        </is>
      </c>
      <c r="F41" s="10" t="inlineStr">
        <is>
          <t>Entero</t>
        </is>
      </c>
      <c r="G41" s="10" t="inlineStr">
        <is>
          <t>$/m²</t>
        </is>
      </c>
      <c r="H41" s="10" t="inlineStr">
        <is>
          <t>705000</t>
        </is>
      </c>
      <c r="I41" s="10" t="inlineStr">
        <is>
          <t>No</t>
        </is>
      </c>
      <c r="J41" s="10" t="inlineStr">
        <is>
          <t>&gt; 0</t>
        </is>
      </c>
      <c r="K41" s="10" t="inlineStr">
        <is>
          <t>Pública</t>
        </is>
      </c>
      <c r="L41" s="10" t="inlineStr">
        <is>
          <t>Se calcula la mediana de las zonas de valor</t>
        </is>
      </c>
      <c r="M41" s="10" t="inlineStr">
        <is>
          <t>¿Cuánto vale el suelo?</t>
        </is>
      </c>
    </row>
    <row r="42">
      <c r="A42" s="10" t="inlineStr">
        <is>
          <t>F010</t>
        </is>
      </c>
      <c r="B42" s="10" t="inlineStr">
        <is>
          <t>lago/economia.json</t>
        </is>
      </c>
      <c r="C42" s="10" t="inlineStr">
        <is>
          <t>cifras.licencias_ventana.valor</t>
        </is>
      </c>
      <c r="D42" s="10" t="inlineStr">
        <is>
          <t>Licencias urbanísticas expedidas por las curadurías (archivo digitalizado)</t>
        </is>
      </c>
      <c r="E42" s="10" t="inlineStr">
        <is>
          <t>Licencias urbanísticas expedidas en los últimos 5 años con datos</t>
        </is>
      </c>
      <c r="F42" s="10" t="inlineStr">
        <is>
          <t>Entero</t>
        </is>
      </c>
      <c r="G42" s="10" t="inlineStr">
        <is>
          <t>licencias</t>
        </is>
      </c>
      <c r="H42" s="10" t="inlineStr">
        <is>
          <t>15493</t>
        </is>
      </c>
      <c r="I42" s="10" t="inlineStr">
        <is>
          <t>No</t>
        </is>
      </c>
      <c r="J42" s="10" t="inlineStr">
        <is>
          <t>≥ 0</t>
        </is>
      </c>
      <c r="K42" s="10" t="inlineStr">
        <is>
          <t>Pública</t>
        </is>
      </c>
      <c r="L42" s="10" t="inlineStr">
        <is>
          <t>Se cuentan las licencias de la ventana de años</t>
        </is>
      </c>
      <c r="M42" s="10" t="inlineStr">
        <is>
          <t>¿Cuánta construcción se está autorizando?</t>
        </is>
      </c>
    </row>
    <row r="43">
      <c r="A43" s="10" t="inlineStr">
        <is>
          <t>F011</t>
        </is>
      </c>
      <c r="B43" s="10" t="inlineStr">
        <is>
          <t>lago/economia.json</t>
        </is>
      </c>
      <c r="C43" s="10" t="inlineStr">
        <is>
          <t>cifras.establecimientos_ica.valor</t>
        </is>
      </c>
      <c r="D43" s="10" t="inlineStr">
        <is>
          <t>Establecimientos de Industria y Comercio activos por actividad</t>
        </is>
      </c>
      <c r="E43" s="10" t="inlineStr">
        <is>
          <t>Contribuyentes activos de Industria y Comercio</t>
        </is>
      </c>
      <c r="F43" s="10" t="inlineStr">
        <is>
          <t>Entero</t>
        </is>
      </c>
      <c r="G43" s="10" t="inlineStr">
        <is>
          <t>contratos</t>
        </is>
      </c>
      <c r="H43" s="10" t="inlineStr">
        <is>
          <t>443241</t>
        </is>
      </c>
      <c r="I43" s="10" t="inlineStr">
        <is>
          <t>No</t>
        </is>
      </c>
      <c r="J43" s="10" t="inlineStr">
        <is>
          <t>&gt; 0</t>
        </is>
      </c>
      <c r="K43" s="10" t="inlineStr">
        <is>
          <t>Pública</t>
        </is>
      </c>
      <c r="L43" s="10" t="inlineStr">
        <is>
          <t>Se cuentan los registros activos; no se guardan nombres</t>
        </is>
      </c>
      <c r="M43" s="10" t="inlineStr">
        <is>
          <t>¿Qué tan grande es el tejido comercial?</t>
        </is>
      </c>
    </row>
    <row r="44">
      <c r="A44" s="10" t="inlineStr">
        <is>
          <t>F012</t>
        </is>
      </c>
      <c r="B44" s="10" t="inlineStr">
        <is>
          <t>lago/economia.json</t>
        </is>
      </c>
      <c r="C44" s="10" t="inlineStr">
        <is>
          <t>listas.empresas_por_sector[].empresas</t>
        </is>
      </c>
      <c r="D44" s="10" t="inlineStr">
        <is>
          <t>Estructura empresarial de Medellín según comunas y actividad económica</t>
        </is>
      </c>
      <c r="E44" s="10" t="inlineStr">
        <is>
          <t>Empresas matriculadas en la Cámara de Comercio por sector económico</t>
        </is>
      </c>
      <c r="F44" s="10" t="inlineStr">
        <is>
          <t>Entero</t>
        </is>
      </c>
      <c r="G44" s="10" t="inlineStr">
        <is>
          <t>empresas</t>
        </is>
      </c>
      <c r="H44" s="10" t="inlineStr">
        <is>
          <t>36709</t>
        </is>
      </c>
      <c r="I44" s="10" t="inlineStr">
        <is>
          <t>No</t>
        </is>
      </c>
      <c r="J44" s="10" t="inlineStr">
        <is>
          <t>≥ 0</t>
        </is>
      </c>
      <c r="K44" s="10" t="inlineStr">
        <is>
          <t>Pública</t>
        </is>
      </c>
      <c r="L44" s="10" t="inlineStr">
        <is>
          <t>Se suman las comunas y se agrupan las actividades por sector</t>
        </is>
      </c>
      <c r="M44" s="10" t="inlineStr">
        <is>
          <t>¿De qué vive la ciudad?</t>
        </is>
      </c>
    </row>
    <row r="45">
      <c r="A45" s="10" t="inlineStr">
        <is>
          <t>F028</t>
        </is>
      </c>
      <c r="B45" s="10" t="inlineStr">
        <is>
          <t>lago/turismo.json</t>
        </is>
      </c>
      <c r="C45" s="10" t="inlineStr">
        <is>
          <t>cifras.visitantes_extranjeros.valor</t>
        </is>
      </c>
      <c r="D45" s="10" t="inlineStr">
        <is>
          <t>Extranjeros no residentes por ciudad de destino</t>
        </is>
      </c>
      <c r="E45" s="10" t="inlineStr">
        <is>
          <t>Visitantes extranjeros no residentes con destino Medellín en el último año completo</t>
        </is>
      </c>
      <c r="F45" s="10" t="inlineStr">
        <is>
          <t>Entero</t>
        </is>
      </c>
      <c r="G45" s="10" t="inlineStr">
        <is>
          <t>personas</t>
        </is>
      </c>
      <c r="H45" s="10" t="inlineStr">
        <is>
          <t>1143678</t>
        </is>
      </c>
      <c r="I45" s="10" t="inlineStr">
        <is>
          <t>No</t>
        </is>
      </c>
      <c r="J45" s="10" t="inlineStr">
        <is>
          <t>≥ 0</t>
        </is>
      </c>
      <c r="K45" s="10" t="inlineStr">
        <is>
          <t>Pública</t>
        </is>
      </c>
      <c r="L45" s="10" t="inlineStr">
        <is>
          <t>Se filtra Medellín y se suman los meses del año</t>
        </is>
      </c>
      <c r="M45" s="10" t="inlineStr">
        <is>
          <t>¿Cuántos extranjeros visitan la ciudad?</t>
        </is>
      </c>
    </row>
    <row r="46">
      <c r="A46" s="10" t="inlineStr">
        <is>
          <t>F028</t>
        </is>
      </c>
      <c r="B46" s="10" t="inlineStr">
        <is>
          <t>lago/turismo.json</t>
        </is>
      </c>
      <c r="C46" s="10" t="inlineStr">
        <is>
          <t>listas.paises_origen[].valor</t>
        </is>
      </c>
      <c r="D46" s="10" t="inlineStr">
        <is>
          <t>Extranjeros no residentes por ciudad de destino</t>
        </is>
      </c>
      <c r="E46" s="10" t="inlineStr">
        <is>
          <t>Visitantes extranjeros por país de origen</t>
        </is>
      </c>
      <c r="F46" s="10" t="inlineStr">
        <is>
          <t>Entero</t>
        </is>
      </c>
      <c r="G46" s="10" t="inlineStr">
        <is>
          <t>personas</t>
        </is>
      </c>
      <c r="H46" s="10" t="inlineStr">
        <is>
          <t>378326</t>
        </is>
      </c>
      <c r="I46" s="10" t="inlineStr">
        <is>
          <t>No</t>
        </is>
      </c>
      <c r="J46" s="10" t="inlineStr">
        <is>
          <t>≥ 0</t>
        </is>
      </c>
      <c r="K46" s="10" t="inlineStr">
        <is>
          <t>Pública</t>
        </is>
      </c>
      <c r="L46" s="10" t="inlineStr">
        <is>
          <t>Se agrupa por país y se dejan los de mayor número</t>
        </is>
      </c>
      <c r="M46" s="10" t="inlineStr">
        <is>
          <t>¿De dónde vienen los turistas?</t>
        </is>
      </c>
    </row>
    <row r="47">
      <c r="A47" s="10" t="inlineStr">
        <is>
          <t>F029</t>
        </is>
      </c>
      <c r="B47" s="10" t="inlineStr">
        <is>
          <t>lago/turismo.json</t>
        </is>
      </c>
      <c r="C47" s="10" t="inlineStr">
        <is>
          <t>cifras.pasajeros_aeropuerto.valor</t>
        </is>
      </c>
      <c r="D47" s="10" t="inlineStr">
        <is>
          <t>Transporte aéreo comercial · tráfico origen–destino</t>
        </is>
      </c>
      <c r="E47" s="10" t="inlineStr">
        <is>
          <t>Pasajeros del aeropuerto José María Córdova en el último año completo</t>
        </is>
      </c>
      <c r="F47" s="10" t="inlineStr">
        <is>
          <t>Entero</t>
        </is>
      </c>
      <c r="G47" s="10" t="inlineStr">
        <is>
          <t>pasajeros</t>
        </is>
      </c>
      <c r="H47" s="10" t="inlineStr">
        <is>
          <t>13261826</t>
        </is>
      </c>
      <c r="I47" s="10" t="inlineStr">
        <is>
          <t>No</t>
        </is>
      </c>
      <c r="J47" s="10" t="inlineStr">
        <is>
          <t>≥ 0</t>
        </is>
      </c>
      <c r="K47" s="10" t="inlineStr">
        <is>
          <t>Pública</t>
        </is>
      </c>
      <c r="L47" s="10" t="inlineStr">
        <is>
          <t>Se suman las rutas con origen o destino en el aeropuerto</t>
        </is>
      </c>
      <c r="M47" s="10" t="inlineStr">
        <is>
          <t>¿Cuánto tráfico aéreo recibe la ciudad?</t>
        </is>
      </c>
    </row>
    <row r="48">
      <c r="A48" s="10" t="inlineStr">
        <is>
          <t>F030</t>
        </is>
      </c>
      <c r="B48" s="10" t="inlineStr">
        <is>
          <t>lago/turismo.json</t>
        </is>
      </c>
      <c r="C48" s="10" t="inlineStr">
        <is>
          <t>cifras.ocupacion_hotelera_ultima.valor</t>
        </is>
      </c>
      <c r="D48" s="10" t="inlineStr">
        <is>
          <t>Porcentaje de ocupación hotelera mensual de Medellín</t>
        </is>
      </c>
      <c r="E48" s="10" t="inlineStr">
        <is>
          <t>Ocupación hotelera del último mes publicado (octubre de 2023)</t>
        </is>
      </c>
      <c r="F48" s="10" t="inlineStr">
        <is>
          <t>Decimal</t>
        </is>
      </c>
      <c r="G48" s="10" t="inlineStr">
        <is>
          <t>%</t>
        </is>
      </c>
      <c r="H48" s="10" t="inlineStr">
        <is>
          <t>67.1</t>
        </is>
      </c>
      <c r="I48" s="10" t="inlineStr">
        <is>
          <t>No</t>
        </is>
      </c>
      <c r="J48" s="10" t="inlineStr">
        <is>
          <t>0–100</t>
        </is>
      </c>
      <c r="K48" s="10" t="inlineStr">
        <is>
          <t>Pública</t>
        </is>
      </c>
      <c r="L48" s="10" t="inlineStr">
        <is>
          <t>Se toma el último mes de la serie histórica</t>
        </is>
      </c>
      <c r="M48" s="10" t="inlineStr">
        <is>
          <t>¿Qué tan llenos están los hoteles?</t>
        </is>
      </c>
    </row>
    <row r="49">
      <c r="A49" s="10" t="inlineStr">
        <is>
          <t>F031</t>
        </is>
      </c>
      <c r="B49" s="10" t="inlineStr">
        <is>
          <t>lago/turismo.json</t>
        </is>
      </c>
      <c r="C49" s="10" t="inlineStr">
        <is>
          <t>listas.museos_por_lugar[].visitas</t>
        </is>
      </c>
      <c r="D49" s="10" t="inlineStr">
        <is>
          <t>Visitantes a museos</t>
        </is>
      </c>
      <c r="E49" s="10" t="inlineStr">
        <is>
          <t>Visitas de un museo en 2022</t>
        </is>
      </c>
      <c r="F49" s="10" t="inlineStr">
        <is>
          <t>Entero</t>
        </is>
      </c>
      <c r="G49" s="10" t="inlineStr">
        <is>
          <t>visitas</t>
        </is>
      </c>
      <c r="H49" s="10" t="inlineStr">
        <is>
          <t>183072</t>
        </is>
      </c>
      <c r="I49" s="10" t="inlineStr">
        <is>
          <t>No</t>
        </is>
      </c>
      <c r="J49" s="10" t="inlineStr">
        <is>
          <t>≥ 0</t>
        </is>
      </c>
      <c r="K49" s="10" t="inlineStr">
        <is>
          <t>Pública</t>
        </is>
      </c>
      <c r="L49" s="10" t="inlineStr">
        <is>
          <t>Se suman los 12 meses de 2022 por museo</t>
        </is>
      </c>
      <c r="M49" s="10" t="inlineStr">
        <is>
          <t>¿Qué museos atraen más público?</t>
        </is>
      </c>
    </row>
    <row r="50">
      <c r="A50" s="10" t="inlineStr">
        <is>
          <t>F032</t>
        </is>
      </c>
      <c r="B50" s="10" t="inlineStr">
        <is>
          <t>lago/turismo.json</t>
        </is>
      </c>
      <c r="C50" s="10" t="inlineStr">
        <is>
          <t>listas.sitios_por_lugar[].visitas</t>
        </is>
      </c>
      <c r="D50" s="10" t="inlineStr">
        <is>
          <t>Visitantes a sitios de interés</t>
        </is>
      </c>
      <c r="E50" s="10" t="inlineStr">
        <is>
          <t>Visitas de un sitio de interés en 2022</t>
        </is>
      </c>
      <c r="F50" s="10" t="inlineStr">
        <is>
          <t>Entero</t>
        </is>
      </c>
      <c r="G50" s="10" t="inlineStr">
        <is>
          <t>visitas</t>
        </is>
      </c>
      <c r="H50" s="10" t="inlineStr">
        <is>
          <t>2456359</t>
        </is>
      </c>
      <c r="I50" s="10" t="inlineStr">
        <is>
          <t>No</t>
        </is>
      </c>
      <c r="J50" s="10" t="inlineStr">
        <is>
          <t>≥ 0</t>
        </is>
      </c>
      <c r="K50" s="10" t="inlineStr">
        <is>
          <t>Pública</t>
        </is>
      </c>
      <c r="L50" s="10" t="inlineStr">
        <is>
          <t>Se suman los 12 meses de 2022 por sitio</t>
        </is>
      </c>
      <c r="M50" s="10" t="inlineStr">
        <is>
          <t>¿Qué sitios atraen más público?</t>
        </is>
      </c>
    </row>
    <row r="51">
      <c r="A51" s="10" t="inlineStr">
        <is>
          <t>F033</t>
        </is>
      </c>
      <c r="B51" s="10" t="inlineStr">
        <is>
          <t>lago/turismo.json</t>
        </is>
      </c>
      <c r="C51" s="10" t="inlineStr">
        <is>
          <t>cifras.atractivos_turisticos.valor</t>
        </is>
      </c>
      <c r="D51" s="10" t="inlineStr">
        <is>
          <t>Atractivos turísticos y puntos de información turística</t>
        </is>
      </c>
      <c r="E51" s="10" t="inlineStr">
        <is>
          <t>Atractivos turísticos registrados por la Alcaldía</t>
        </is>
      </c>
      <c r="F51" s="10" t="inlineStr">
        <is>
          <t>Entero</t>
        </is>
      </c>
      <c r="G51" s="10" t="inlineStr">
        <is>
          <t>atractivos</t>
        </is>
      </c>
      <c r="H51" s="10" t="inlineStr">
        <is>
          <t>92</t>
        </is>
      </c>
      <c r="I51" s="10" t="inlineStr">
        <is>
          <t>No</t>
        </is>
      </c>
      <c r="J51" s="10" t="inlineStr">
        <is>
          <t>≥ 0</t>
        </is>
      </c>
      <c r="K51" s="10" t="inlineStr">
        <is>
          <t>Pública</t>
        </is>
      </c>
      <c r="L51" s="10" t="inlineStr">
        <is>
          <t>Se cuentan los puntos de la capa</t>
        </is>
      </c>
      <c r="M51" s="10" t="inlineStr">
        <is>
          <t>¿Qué oferta turística hay?</t>
        </is>
      </c>
    </row>
    <row r="52">
      <c r="A52" s="10" t="inlineStr">
        <is>
          <t>F034</t>
        </is>
      </c>
      <c r="B52" s="10" t="inlineStr">
        <is>
          <t>lago/turismo.json</t>
        </is>
      </c>
      <c r="C52" s="10" t="inlineStr">
        <is>
          <t>cifras.hospedajes_osm.valor</t>
        </is>
      </c>
      <c r="D52" s="10" t="inlineStr">
        <is>
          <t>Hoteles, hostales y otros hospedajes mapeados en OpenStreetMap</t>
        </is>
      </c>
      <c r="E52" s="10" t="inlineStr">
        <is>
          <t>Hospedajes mapeados en OpenStreetMap: hoteles, hostales, apartamentos y similares</t>
        </is>
      </c>
      <c r="F52" s="10" t="inlineStr">
        <is>
          <t>Entero</t>
        </is>
      </c>
      <c r="G52" s="10" t="inlineStr">
        <is>
          <t>hospedajes</t>
        </is>
      </c>
      <c r="H52" s="10" t="inlineStr">
        <is>
          <t>381</t>
        </is>
      </c>
      <c r="I52" s="10" t="inlineStr">
        <is>
          <t>No</t>
        </is>
      </c>
      <c r="J52" s="10" t="inlineStr">
        <is>
          <t>≥ 0</t>
        </is>
      </c>
      <c r="K52" s="10" t="inlineStr">
        <is>
          <t>Pública</t>
        </is>
      </c>
      <c r="L52" s="10" t="inlineStr">
        <is>
          <t>Se cuentan los elementos con tourism = hotel, hostel, guest_house, apartment o motel</t>
        </is>
      </c>
      <c r="M52" s="10" t="inlineStr">
        <is>
          <t>¿Cuánta oferta de alojamiento hay? (cobertura incompleta por ser colaborativa)</t>
        </is>
      </c>
    </row>
    <row r="53">
      <c r="A53" s="10" t="inlineStr">
        <is>
          <t>F036</t>
        </is>
      </c>
      <c r="B53" s="10" t="inlineStr">
        <is>
          <t>lago/municipio.json</t>
        </is>
      </c>
      <c r="C53" s="10" t="inlineStr">
        <is>
          <t>cifras.presupuesto_inicial.valor</t>
        </is>
      </c>
      <c r="D53" s="10" t="inlineStr">
        <is>
          <t>CUIPO · programación y ejecución de gastos del Distrito de Medellín</t>
        </is>
      </c>
      <c r="E53" s="10" t="inlineStr">
        <is>
          <t>Presupuesto de gastos aprobado para el año actual</t>
        </is>
      </c>
      <c r="F53" s="10" t="inlineStr">
        <is>
          <t>Decimal</t>
        </is>
      </c>
      <c r="G53" s="10" t="inlineStr">
        <is>
          <t>billones de $</t>
        </is>
      </c>
      <c r="H53" s="10" t="inlineStr">
        <is>
          <t>11.84</t>
        </is>
      </c>
      <c r="I53" s="10" t="inlineStr">
        <is>
          <t>No</t>
        </is>
      </c>
      <c r="J53" s="10" t="inlineStr">
        <is>
          <t>&gt; 0</t>
        </is>
      </c>
      <c r="K53" s="10" t="inlineStr">
        <is>
          <t>Pública</t>
        </is>
      </c>
      <c r="L53" s="10" t="inlineStr">
        <is>
          <t>Se suman las cuentas de primer nivel y se pasa a billones</t>
        </is>
      </c>
      <c r="M53" s="10" t="inlineStr">
        <is>
          <t>¿Cuánto dinero maneja el Distrito?</t>
        </is>
      </c>
    </row>
    <row r="54">
      <c r="A54" s="10" t="inlineStr">
        <is>
          <t>F035</t>
        </is>
      </c>
      <c r="B54" s="10" t="inlineStr">
        <is>
          <t>lago/municipio.json</t>
        </is>
      </c>
      <c r="C54" s="10" t="inlineStr">
        <is>
          <t>cifras.ingresos_recaudados.valor</t>
        </is>
      </c>
      <c r="D54" s="10" t="inlineStr">
        <is>
          <t>CUIPO · programación y ejecución de ingresos del Distrito de Medellín</t>
        </is>
      </c>
      <c r="E54" s="10" t="inlineStr">
        <is>
          <t>Ingresos recaudados por el Distrito en el último año completo</t>
        </is>
      </c>
      <c r="F54" s="10" t="inlineStr">
        <is>
          <t>Decimal</t>
        </is>
      </c>
      <c r="G54" s="10" t="inlineStr">
        <is>
          <t>billones de $</t>
        </is>
      </c>
      <c r="H54" s="10" t="inlineStr">
        <is>
          <t>13.173</t>
        </is>
      </c>
      <c r="I54" s="10" t="inlineStr">
        <is>
          <t>No</t>
        </is>
      </c>
      <c r="J54" s="10" t="inlineStr">
        <is>
          <t>&gt; 0</t>
        </is>
      </c>
      <c r="K54" s="10" t="inlineStr">
        <is>
          <t>Pública</t>
        </is>
      </c>
      <c r="L54" s="10" t="inlineStr">
        <is>
          <t>Se suman los recaudos de las cuentas de ingreso y se pasa a billones</t>
        </is>
      </c>
      <c r="M54" s="10" t="inlineStr">
        <is>
          <t>¿Cuánto recauda el Distrito?</t>
        </is>
      </c>
    </row>
    <row r="55">
      <c r="A55" s="10" t="inlineStr">
        <is>
          <t>F036</t>
        </is>
      </c>
      <c r="B55" s="10" t="inlineStr">
        <is>
          <t>lago/municipio.json</t>
        </is>
      </c>
      <c r="C55" s="10" t="inlineStr">
        <is>
          <t>cifras.ejecucion_gastos.valor</t>
        </is>
      </c>
      <c r="D55" s="10" t="inlineStr">
        <is>
          <t>CUIPO · programación y ejecución de gastos del Distrito de Medellín</t>
        </is>
      </c>
      <c r="E55" s="10" t="inlineStr">
        <is>
          <t>Parte del presupuesto definitivo que ya se comprometió</t>
        </is>
      </c>
      <c r="F55" s="10" t="inlineStr">
        <is>
          <t>Decimal</t>
        </is>
      </c>
      <c r="G55" s="10" t="inlineStr">
        <is>
          <t>%</t>
        </is>
      </c>
      <c r="H55" s="10" t="inlineStr">
        <is>
          <t>95.1</t>
        </is>
      </c>
      <c r="I55" s="10" t="inlineStr">
        <is>
          <t>No</t>
        </is>
      </c>
      <c r="J55" s="10" t="inlineStr">
        <is>
          <t>0–100</t>
        </is>
      </c>
      <c r="K55" s="10" t="inlineStr">
        <is>
          <t>Pública</t>
        </is>
      </c>
      <c r="L55" s="10" t="inlineStr">
        <is>
          <t>gastos comprometidos / presupuesto definitivo × 100</t>
        </is>
      </c>
      <c r="M55" s="10" t="inlineStr">
        <is>
          <t>¿Qué tan bien ejecuta su presupuesto la Alcaldía?</t>
        </is>
      </c>
    </row>
    <row r="56">
      <c r="A56" s="10" t="inlineStr">
        <is>
          <t>F037</t>
        </is>
      </c>
      <c r="B56" s="10" t="inlineStr">
        <is>
          <t>lago/municipio.json</t>
        </is>
      </c>
      <c r="C56" s="10" t="inlineStr">
        <is>
          <t>cifras.acuerdos.valor</t>
        </is>
      </c>
      <c r="D56" s="10" t="inlineStr">
        <is>
          <t>Acuerdos sancionados</t>
        </is>
      </c>
      <c r="E56" s="10" t="inlineStr">
        <is>
          <t>Acuerdos sancionados por el Concejo en el último año</t>
        </is>
      </c>
      <c r="F56" s="10" t="inlineStr">
        <is>
          <t>Entero</t>
        </is>
      </c>
      <c r="G56" s="10" t="inlineStr">
        <is>
          <t>acuerdos</t>
        </is>
      </c>
      <c r="H56" s="10" t="inlineStr">
        <is>
          <t>34</t>
        </is>
      </c>
      <c r="I56" s="10" t="inlineStr">
        <is>
          <t>No</t>
        </is>
      </c>
      <c r="J56" s="10" t="inlineStr">
        <is>
          <t>≥ 0</t>
        </is>
      </c>
      <c r="K56" s="10" t="inlineStr">
        <is>
          <t>Pública</t>
        </is>
      </c>
      <c r="L56" s="10" t="inlineStr">
        <is>
          <t>Se cuentan los acuerdos por año de sanción</t>
        </is>
      </c>
      <c r="M56" s="10" t="inlineStr">
        <is>
          <t>¿Cuánta actividad normativa tiene el Concejo?</t>
        </is>
      </c>
    </row>
    <row r="57">
      <c r="A57" s="10" t="inlineStr">
        <is>
          <t>F039</t>
        </is>
      </c>
      <c r="B57" s="10" t="inlineStr">
        <is>
          <t>lago/municipio.json</t>
        </is>
      </c>
      <c r="C57" s="10" t="inlineStr">
        <is>
          <t>cifras.inversion_comunas.valor</t>
        </is>
      </c>
      <c r="D57" s="10" t="inlineStr">
        <is>
          <t>Inversión pública por comuna y corregimiento</t>
        </is>
      </c>
      <c r="E57" s="10" t="inlineStr">
        <is>
          <t>Inversión pública localizada en comunas y corregimientos en 2024</t>
        </is>
      </c>
      <c r="F57" s="10" t="inlineStr">
        <is>
          <t>Decimal</t>
        </is>
      </c>
      <c r="G57" s="10" t="inlineStr">
        <is>
          <t>billones de $</t>
        </is>
      </c>
      <c r="H57" s="10" t="inlineStr">
        <is>
          <t>7.839</t>
        </is>
      </c>
      <c r="I57" s="10" t="inlineStr">
        <is>
          <t>No</t>
        </is>
      </c>
      <c r="J57" s="10" t="inlineStr">
        <is>
          <t>≥ 0</t>
        </is>
      </c>
      <c r="K57" s="10" t="inlineStr">
        <is>
          <t>Pública</t>
        </is>
      </c>
      <c r="L57" s="10" t="inlineStr">
        <is>
          <t>Se suman las comunas y corregimientos y se pasa a billones</t>
        </is>
      </c>
      <c r="M57" s="10" t="inlineStr">
        <is>
          <t>¿Cuánto se invierte y en qué territorios?</t>
        </is>
      </c>
    </row>
    <row r="58">
      <c r="A58" s="10" t="inlineStr">
        <is>
          <t>F040</t>
        </is>
      </c>
      <c r="B58" s="10" t="inlineStr">
        <is>
          <t>lago/municipio.json</t>
        </is>
      </c>
      <c r="C58" s="10" t="inlineStr">
        <is>
          <t>cifras.contratos_secop.valor</t>
        </is>
      </c>
      <c r="D58" s="10" t="inlineStr">
        <is>
          <t>SECOP II · contratos electrónicos del Distrito de Medellín</t>
        </is>
      </c>
      <c r="E58" s="10" t="inlineStr">
        <is>
          <t>Contratos del Distrito firmados en SECOP II en el último año completo</t>
        </is>
      </c>
      <c r="F58" s="10" t="inlineStr">
        <is>
          <t>Entero</t>
        </is>
      </c>
      <c r="G58" s="10" t="inlineStr">
        <is>
          <t>contratos</t>
        </is>
      </c>
      <c r="H58" s="10" t="inlineStr">
        <is>
          <t>1471</t>
        </is>
      </c>
      <c r="I58" s="10" t="inlineStr">
        <is>
          <t>No</t>
        </is>
      </c>
      <c r="J58" s="10" t="inlineStr">
        <is>
          <t>≥ 0</t>
        </is>
      </c>
      <c r="K58" s="10" t="inlineStr">
        <is>
          <t>Pública</t>
        </is>
      </c>
      <c r="L58" s="10" t="inlineStr">
        <is>
          <t>Se cuentan los contratos por año de firma</t>
        </is>
      </c>
      <c r="M58" s="10" t="inlineStr">
        <is>
          <t>¿Cuánto contrata la Alcaldía?</t>
        </is>
      </c>
    </row>
    <row r="59">
      <c r="A59" s="10" t="inlineStr">
        <is>
          <t>F040</t>
        </is>
      </c>
      <c r="B59" s="10" t="inlineStr">
        <is>
          <t>lago/municipio.json</t>
        </is>
      </c>
      <c r="C59" s="10" t="inlineStr">
        <is>
          <t>listas.secop_mayores[].valor</t>
        </is>
      </c>
      <c r="D59" s="10" t="inlineStr">
        <is>
          <t>SECOP II · contratos electrónicos del Distrito de Medellín</t>
        </is>
      </c>
      <c r="E59" s="10" t="inlineStr">
        <is>
          <t>Valor de uno de los contratos más grandes del año</t>
        </is>
      </c>
      <c r="F59" s="10" t="inlineStr">
        <is>
          <t>Entero</t>
        </is>
      </c>
      <c r="G59" s="10" t="inlineStr">
        <is>
          <t>$</t>
        </is>
      </c>
      <c r="H59" s="10" t="inlineStr">
        <is>
          <t>503210859577</t>
        </is>
      </c>
      <c r="I59" s="10" t="inlineStr">
        <is>
          <t>No</t>
        </is>
      </c>
      <c r="J59" s="10" t="inlineStr">
        <is>
          <t>&gt; 0</t>
        </is>
      </c>
      <c r="K59" s="10" t="inlineStr">
        <is>
          <t>Pública</t>
        </is>
      </c>
      <c r="L59" s="10" t="inlineStr">
        <is>
          <t>Se ordenan los contratos por valor y se dejan los 10 mayores</t>
        </is>
      </c>
      <c r="M59" s="10" t="inlineStr">
        <is>
          <t>¿Quiénes reciben los mayores contratos?</t>
        </is>
      </c>
    </row>
    <row r="60">
      <c r="A60" s="10" t="inlineStr">
        <is>
          <t>F040</t>
        </is>
      </c>
      <c r="B60" s="10" t="inlineStr">
        <is>
          <t>lago/municipio.json</t>
        </is>
      </c>
      <c r="C60" s="10" t="inlineStr">
        <is>
          <t>listas.secop_mayores[].proveedor</t>
        </is>
      </c>
      <c r="D60" s="10" t="inlineStr">
        <is>
          <t>SECOP II · contratos electrónicos del Distrito de Medellín</t>
        </is>
      </c>
      <c r="E60" s="10" t="inlineStr">
        <is>
          <t>Nombre del contratista; puede ser una persona natural</t>
        </is>
      </c>
      <c r="F60" s="10" t="inlineStr">
        <is>
          <t>Texto</t>
        </is>
      </c>
      <c r="G60" s="10" t="inlineStr">
        <is>
          <t>n/a</t>
        </is>
      </c>
      <c r="H60" s="10" t="inlineStr">
        <is>
          <t>BANCOLOMBIA</t>
        </is>
      </c>
      <c r="I60" s="10" t="inlineStr">
        <is>
          <t>Sí</t>
        </is>
      </c>
      <c r="J60" s="10" t="inlineStr">
        <is>
          <t>Texto libre</t>
        </is>
      </c>
      <c r="K60" s="10" t="inlineStr">
        <is>
          <t>Dato personal</t>
        </is>
      </c>
      <c r="L60" s="10" t="inlineStr">
        <is>
          <t>Se conserva solo para los 10 mayores contratos; no se guarda el documento de identidad</t>
        </is>
      </c>
      <c r="M60" s="10" t="inlineStr">
        <is>
          <t>¿A quién se le contrata? (revisar antes de publicar si el proveedor es persona natural)</t>
        </is>
      </c>
    </row>
    <row r="61">
      <c r="A61" s="10" t="inlineStr">
        <is>
          <t>F041</t>
        </is>
      </c>
      <c r="B61" s="10" t="inlineStr">
        <is>
          <t>lago/municipio.json</t>
        </is>
      </c>
      <c r="C61" s="10" t="inlineStr">
        <is>
          <t>cifras.predial_facturado.valor</t>
        </is>
      </c>
      <c r="D61" s="10" t="inlineStr">
        <is>
          <t>Facturación histórica del impuesto predial unificado por comuna de cobro</t>
        </is>
      </c>
      <c r="E61" s="10" t="inlineStr">
        <is>
          <t>Impuesto predial facturado en 2020</t>
        </is>
      </c>
      <c r="F61" s="10" t="inlineStr">
        <is>
          <t>Decimal</t>
        </is>
      </c>
      <c r="G61" s="10" t="inlineStr">
        <is>
          <t>billones de $</t>
        </is>
      </c>
      <c r="H61" s="10" t="inlineStr">
        <is>
          <t>0.751</t>
        </is>
      </c>
      <c r="I61" s="10" t="inlineStr">
        <is>
          <t>No</t>
        </is>
      </c>
      <c r="J61" s="10" t="inlineStr">
        <is>
          <t>&gt; 0</t>
        </is>
      </c>
      <c r="K61" s="10" t="inlineStr">
        <is>
          <t>Pública</t>
        </is>
      </c>
      <c r="L61" s="10" t="inlineStr">
        <is>
          <t>Se suman las comunas de cobro y se pasa a billones</t>
        </is>
      </c>
      <c r="M61" s="10" t="inlineStr">
        <is>
          <t>¿Cuánto aporta el predial?</t>
        </is>
      </c>
    </row>
    <row r="62">
      <c r="A62" s="10" t="inlineStr">
        <is>
          <t>F042</t>
        </is>
      </c>
      <c r="B62" s="10" t="inlineStr">
        <is>
          <t>lago/servicios.json</t>
        </is>
      </c>
      <c r="C62" s="10" t="inlineStr">
        <is>
          <t>cifras.cobertura_acueducto.valor</t>
        </is>
      </c>
      <c r="D62" s="10" t="inlineStr">
        <is>
          <t>Reporte de estratificación y cobertura de acueducto, alcantarillado y aseo</t>
        </is>
      </c>
      <c r="E62" s="10" t="inlineStr">
        <is>
          <t>Parte de las viviendas con acueducto residencial en 2019</t>
        </is>
      </c>
      <c r="F62" s="10" t="inlineStr">
        <is>
          <t>Decimal</t>
        </is>
      </c>
      <c r="G62" s="10" t="inlineStr">
        <is>
          <t>% de viviendas</t>
        </is>
      </c>
      <c r="H62" s="10" t="inlineStr">
        <is>
          <t>95.3</t>
        </is>
      </c>
      <c r="I62" s="10" t="inlineStr">
        <is>
          <t>No</t>
        </is>
      </c>
      <c r="J62" s="10" t="inlineStr">
        <is>
          <t>0–100</t>
        </is>
      </c>
      <c r="K62" s="10" t="inlineStr">
        <is>
          <t>Pública</t>
        </is>
      </c>
      <c r="L62" s="10" t="inlineStr">
        <is>
          <t>suscriptores residenciales / viviendas estimadas × 100</t>
        </is>
      </c>
      <c r="M62" s="10" t="inlineStr">
        <is>
          <t>¿Quién tiene agua?</t>
        </is>
      </c>
    </row>
    <row r="63">
      <c r="A63" s="10" t="inlineStr">
        <is>
          <t>F043</t>
        </is>
      </c>
      <c r="B63" s="10" t="inlineStr">
        <is>
          <t>lago/servicios.json</t>
        </is>
      </c>
      <c r="C63" s="10" t="inlineStr">
        <is>
          <t>cifras.suscriptores_epm_acueducto.valor</t>
        </is>
      </c>
      <c r="D63" s="10" t="inlineStr">
        <is>
          <t>Suscriptores y consumos de acueducto y alcantarillado del gran prestador (EPM)</t>
        </is>
      </c>
      <c r="E63" s="10" t="inlineStr">
        <is>
          <t>Suscriptores de acueducto de EPM en agosto de 2023</t>
        </is>
      </c>
      <c r="F63" s="10" t="inlineStr">
        <is>
          <t>Entero</t>
        </is>
      </c>
      <c r="G63" s="10" t="inlineStr">
        <is>
          <t>suscriptores</t>
        </is>
      </c>
      <c r="H63" s="10" t="inlineStr">
        <is>
          <t>872157</t>
        </is>
      </c>
      <c r="I63" s="10" t="inlineStr">
        <is>
          <t>No</t>
        </is>
      </c>
      <c r="J63" s="10" t="inlineStr">
        <is>
          <t>≥ 0</t>
        </is>
      </c>
      <c r="K63" s="10" t="inlineStr">
        <is>
          <t>Pública</t>
        </is>
      </c>
      <c r="L63" s="10" t="inlineStr">
        <is>
          <t>Se suman los usos residenciales y no residenciales del último mes</t>
        </is>
      </c>
      <c r="M63" s="10" t="inlineStr">
        <is>
          <t>¿Cuántos usuarios tiene el acueducto?</t>
        </is>
      </c>
    </row>
    <row r="64">
      <c r="A64" s="10" t="inlineStr">
        <is>
          <t>F046</t>
        </is>
      </c>
      <c r="B64" s="10" t="inlineStr">
        <is>
          <t>lago/servicios.json</t>
        </is>
      </c>
      <c r="C64" s="10" t="inlineStr">
        <is>
          <t>cifras.epm_subsidios.valor</t>
        </is>
      </c>
      <c r="D64" s="10" t="inlineStr">
        <is>
          <t>Subsidios y contribuciones de acueducto y alcantarillado del gran prestador (EPM)</t>
        </is>
      </c>
      <c r="E64" s="10" t="inlineStr">
        <is>
          <t>Subsidios de acueducto y alcantarillado de EPM en 2022</t>
        </is>
      </c>
      <c r="F64" s="10" t="inlineStr">
        <is>
          <t>Entero</t>
        </is>
      </c>
      <c r="G64" s="10" t="inlineStr">
        <is>
          <t>millones de $</t>
        </is>
      </c>
      <c r="H64" s="10" t="inlineStr">
        <is>
          <t>150745</t>
        </is>
      </c>
      <c r="I64" s="10" t="inlineStr">
        <is>
          <t>No</t>
        </is>
      </c>
      <c r="J64" s="10" t="inlineStr">
        <is>
          <t>≥ 0</t>
        </is>
      </c>
      <c r="K64" s="10" t="inlineStr">
        <is>
          <t>Pública</t>
        </is>
      </c>
      <c r="L64" s="10" t="inlineStr">
        <is>
          <t>Se suman los meses de 2022</t>
        </is>
      </c>
      <c r="M64" s="10" t="inlineStr">
        <is>
          <t>¿Cuánto subsidia la ciudad a los estratos bajos?</t>
        </is>
      </c>
    </row>
    <row r="65">
      <c r="A65" s="10" t="inlineStr">
        <is>
          <t>F048</t>
        </is>
      </c>
      <c r="B65" s="10" t="inlineStr">
        <is>
          <t>lago/servicios.json</t>
        </is>
      </c>
      <c r="C65" s="10" t="inlineStr">
        <is>
          <t>cifras.tarifa_acueducto_e1.valor</t>
        </is>
      </c>
      <c r="D65" s="10" t="inlineStr">
        <is>
          <t>Tarifas de acueducto y aguas residuales para hogares</t>
        </is>
      </c>
      <c r="E65" s="10" t="inlineStr">
        <is>
          <t>Tarifa de acueducto por m³ del consumo básico en estrato 1</t>
        </is>
      </c>
      <c r="F65" s="10" t="inlineStr">
        <is>
          <t>Decimal</t>
        </is>
      </c>
      <c r="G65" s="10" t="inlineStr">
        <is>
          <t>$/m³</t>
        </is>
      </c>
      <c r="H65" s="10" t="inlineStr">
        <is>
          <t>1991.32</t>
        </is>
      </c>
      <c r="I65" s="10" t="inlineStr">
        <is>
          <t>No</t>
        </is>
      </c>
      <c r="J65" s="10" t="inlineStr">
        <is>
          <t>&gt; 0</t>
        </is>
      </c>
      <c r="K65" s="10" t="inlineStr">
        <is>
          <t>Pública</t>
        </is>
      </c>
      <c r="L65" s="10" t="inlineStr">
        <is>
          <t>Se toma la última tarifa vigente</t>
        </is>
      </c>
      <c r="M65" s="10" t="inlineStr">
        <is>
          <t>¿Cuánto paga un hogar por el agua?</t>
        </is>
      </c>
    </row>
    <row r="66">
      <c r="A66" s="10" t="inlineStr">
        <is>
          <t>F049</t>
        </is>
      </c>
      <c r="B66" s="10" t="inlineStr">
        <is>
          <t>lago/servicios.json</t>
        </is>
      </c>
      <c r="C66" s="10" t="inlineStr">
        <is>
          <t>cifras.tarifa_gas_e1.valor</t>
        </is>
      </c>
      <c r="D66" s="10" t="inlineStr">
        <is>
          <t>Tarifas de gas natural para hogares</t>
        </is>
      </c>
      <c r="E66" s="10" t="inlineStr">
        <is>
          <t>Tarifa de gas natural por m³ hasta 20 m³ en estrato 1</t>
        </is>
      </c>
      <c r="F66" s="10" t="inlineStr">
        <is>
          <t>Decimal</t>
        </is>
      </c>
      <c r="G66" s="10" t="inlineStr">
        <is>
          <t>$/m³</t>
        </is>
      </c>
      <c r="H66" s="10" t="inlineStr">
        <is>
          <t>1605.53</t>
        </is>
      </c>
      <c r="I66" s="10" t="inlineStr">
        <is>
          <t>No</t>
        </is>
      </c>
      <c r="J66" s="10" t="inlineStr">
        <is>
          <t>&gt; 0</t>
        </is>
      </c>
      <c r="K66" s="10" t="inlineStr">
        <is>
          <t>Pública</t>
        </is>
      </c>
      <c r="L66" s="10" t="inlineStr">
        <is>
          <t>Se toma la última tarifa vigente</t>
        </is>
      </c>
      <c r="M66" s="10" t="inlineStr">
        <is>
          <t>¿Cuánto paga un hogar por el gas?</t>
        </is>
      </c>
    </row>
    <row r="67">
      <c r="A67" s="10" t="inlineStr">
        <is>
          <t>F050</t>
        </is>
      </c>
      <c r="B67" s="10" t="inlineStr">
        <is>
          <t>lago/servicios.json</t>
        </is>
      </c>
      <c r="C67" s="10" t="inlineStr">
        <is>
          <t>cifras.tarifa_energia_e1.valor</t>
        </is>
      </c>
      <c r="D67" s="10" t="inlineStr">
        <is>
          <t>Tarifas y costo de energía eléctrica, mercado regulado (publicación mensual)</t>
        </is>
      </c>
      <c r="E67" s="10" t="inlineStr">
        <is>
          <t>Tarifa de energía por kWh en estrato 1 dentro del consumo de subsistencia</t>
        </is>
      </c>
      <c r="F67" s="10" t="inlineStr">
        <is>
          <t>Decimal</t>
        </is>
      </c>
      <c r="G67" s="10" t="inlineStr">
        <is>
          <t>$/kWh</t>
        </is>
      </c>
      <c r="H67" s="10" t="inlineStr">
        <is>
          <t>425.51</t>
        </is>
      </c>
      <c r="I67" s="10" t="inlineStr">
        <is>
          <t>No</t>
        </is>
      </c>
      <c r="J67" s="10" t="inlineStr">
        <is>
          <t>&gt; 0</t>
        </is>
      </c>
      <c r="K67" s="10" t="inlineStr">
        <is>
          <t>Pública</t>
        </is>
      </c>
      <c r="L67" s="10" t="inlineStr">
        <is>
          <t>Se copia de la página de tarifas de EPM (no hay API)</t>
        </is>
      </c>
      <c r="M67" s="10" t="inlineStr">
        <is>
          <t>¿Cuánto paga un hogar por la energía?</t>
        </is>
      </c>
    </row>
    <row r="68">
      <c r="A68" s="10" t="inlineStr">
        <is>
          <t>F051</t>
        </is>
      </c>
      <c r="B68" s="10" t="inlineStr">
        <is>
          <t>lago/servicios.json</t>
        </is>
      </c>
      <c r="C68" s="10" t="inlineStr">
        <is>
          <t>listas.ecas[].capacidad</t>
        </is>
      </c>
      <c r="D68" s="10" t="inlineStr">
        <is>
          <t>Registro de estaciones de clasificación y aprovechamiento (ECA)</t>
        </is>
      </c>
      <c r="E68" s="10" t="inlineStr">
        <is>
          <t>Capacidad mensual de una estación de clasificación y aprovechamiento</t>
        </is>
      </c>
      <c r="F68" s="10" t="inlineStr">
        <is>
          <t>Decimal</t>
        </is>
      </c>
      <c r="G68" s="10" t="inlineStr">
        <is>
          <t>t/mes</t>
        </is>
      </c>
      <c r="H68" s="10" t="inlineStr">
        <is>
          <t>1632.0</t>
        </is>
      </c>
      <c r="I68" s="10" t="inlineStr">
        <is>
          <t>Sí</t>
        </is>
      </c>
      <c r="J68" s="10" t="inlineStr">
        <is>
          <t>≥ 0</t>
        </is>
      </c>
      <c r="K68" s="10" t="inlineStr">
        <is>
          <t>Pública</t>
        </is>
      </c>
      <c r="L68" s="10" t="inlineStr">
        <is>
          <t>Se convierte a número; vacío si la ECA no la reporta</t>
        </is>
      </c>
      <c r="M68" s="10" t="inlineStr">
        <is>
          <t>¿Cuánta capacidad de reciclaje existe?</t>
        </is>
      </c>
    </row>
    <row r="69">
      <c r="A69" s="10" t="inlineStr">
        <is>
          <t>F051</t>
        </is>
      </c>
      <c r="B69" s="10" t="inlineStr">
        <is>
          <t>lago/servicios.json</t>
        </is>
      </c>
      <c r="C69" s="10" t="inlineStr">
        <is>
          <t>listas.ecas[].suelo_compatible</t>
        </is>
      </c>
      <c r="D69" s="10" t="inlineStr">
        <is>
          <t>Registro de estaciones de clasificación y aprovechamiento (ECA)</t>
        </is>
      </c>
      <c r="E69" s="10" t="inlineStr">
        <is>
          <t>Si la ECA está en un suelo cuyo uso permite su operación</t>
        </is>
      </c>
      <c r="F69" s="10" t="inlineStr">
        <is>
          <t>Booleano</t>
        </is>
      </c>
      <c r="G69" s="10" t="inlineStr">
        <is>
          <t>n/a</t>
        </is>
      </c>
      <c r="H69" s="10" t="inlineStr">
        <is>
          <t>False</t>
        </is>
      </c>
      <c r="I69" s="10" t="inlineStr">
        <is>
          <t>No</t>
        </is>
      </c>
      <c r="J69" s="10" t="inlineStr">
        <is>
          <t>true / false</t>
        </is>
      </c>
      <c r="K69" s="10" t="inlineStr">
        <is>
          <t>Pública</t>
        </is>
      </c>
      <c r="L69" s="10" t="inlineStr">
        <is>
          <t>Cruce espacial entre la ECA y el uso del suelo del POT</t>
        </is>
      </c>
      <c r="M69" s="10" t="inlineStr">
        <is>
          <t>¿Las estaciones de reciclaje están bien ubicadas?</t>
        </is>
      </c>
    </row>
    <row r="70">
      <c r="A70" s="10" t="inlineStr">
        <is>
          <t>F052</t>
        </is>
      </c>
      <c r="B70" s="10" t="inlineStr">
        <is>
          <t>lago/servicios.json</t>
        </is>
      </c>
      <c r="C70" s="10" t="inlineStr">
        <is>
          <t>listas.organizaciones_recicladoras[].direccion</t>
        </is>
      </c>
      <c r="D70" s="10" t="inlineStr">
        <is>
          <t>Organizaciones recicladoras</t>
        </is>
      </c>
      <c r="E70" s="10" t="inlineStr">
        <is>
          <t>Dirección de una organización de recicladores registrada</t>
        </is>
      </c>
      <c r="F70" s="10" t="inlineStr">
        <is>
          <t>Texto</t>
        </is>
      </c>
      <c r="G70" s="10" t="inlineStr">
        <is>
          <t>n/a</t>
        </is>
      </c>
      <c r="H70" s="10" t="inlineStr">
        <is>
          <t>CR 31 57B 28</t>
        </is>
      </c>
      <c r="I70" s="10" t="inlineStr">
        <is>
          <t>Sí</t>
        </is>
      </c>
      <c r="J70" s="10" t="inlineStr">
        <is>
          <t>Texto libre</t>
        </is>
      </c>
      <c r="K70" s="10" t="inlineStr">
        <is>
          <t>Pública</t>
        </is>
      </c>
      <c r="L70" s="10" t="inlineStr">
        <is>
          <t>Se copia sin cambios; no se guardan teléfonos ni representantes</t>
        </is>
      </c>
      <c r="M70" s="10" t="inlineStr">
        <is>
          <t>¿Dónde operan los recicladores?</t>
        </is>
      </c>
    </row>
    <row r="71">
      <c r="A71" s="10" t="inlineStr">
        <is>
          <t>F053</t>
        </is>
      </c>
      <c r="B71" s="10" t="inlineStr">
        <is>
          <t>lago/servicios.json</t>
        </is>
      </c>
      <c r="C71" s="10" t="inlineStr">
        <is>
          <t>cifras.internet_fijo.valor</t>
        </is>
      </c>
      <c r="D71" s="10" t="inlineStr">
        <is>
          <t>Accesos a internet fijo por municipio, segmento y tecnología</t>
        </is>
      </c>
      <c r="E71" s="10" t="inlineStr">
        <is>
          <t>Accesos fijos a internet en Medellín en el último trimestre</t>
        </is>
      </c>
      <c r="F71" s="10" t="inlineStr">
        <is>
          <t>Entero</t>
        </is>
      </c>
      <c r="G71" s="10" t="inlineStr">
        <is>
          <t>accesos</t>
        </is>
      </c>
      <c r="H71" s="10" t="inlineStr">
        <is>
          <t>866296</t>
        </is>
      </c>
      <c r="I71" s="10" t="inlineStr">
        <is>
          <t>No</t>
        </is>
      </c>
      <c r="J71" s="10" t="inlineStr">
        <is>
          <t>≥ 0</t>
        </is>
      </c>
      <c r="K71" s="10" t="inlineStr">
        <is>
          <t>Pública</t>
        </is>
      </c>
      <c r="L71" s="10" t="inlineStr">
        <is>
          <t>Se suman los segmentos y tecnologías del último trimestre</t>
        </is>
      </c>
      <c r="M71" s="10" t="inlineStr">
        <is>
          <t>¿Qué tan conectada está la ciudad?</t>
        </is>
      </c>
    </row>
    <row r="72">
      <c r="A72" s="10" t="inlineStr">
        <is>
          <t>F054</t>
        </is>
      </c>
      <c r="B72" s="10" t="inlineStr">
        <is>
          <t>lago/servicios.json</t>
        </is>
      </c>
      <c r="C72" s="10" t="inlineStr">
        <is>
          <t>cifras.internet_fijo_comuna.valor</t>
        </is>
      </c>
      <c r="D72" s="10" t="inlineStr">
        <is>
          <t>Cobertura de internet fijo por comuna</t>
        </is>
      </c>
      <c r="E72" s="10" t="inlineStr">
        <is>
          <t>Cobertura de internet por comuna; la fuente no la publica y el valor queda vacío a propósito</t>
        </is>
      </c>
      <c r="F72" s="10" t="inlineStr">
        <is>
          <t>Entero</t>
        </is>
      </c>
      <c r="G72" s="10" t="inlineStr">
        <is>
          <t>accesos</t>
        </is>
      </c>
      <c r="H72" s="10" t="inlineStr">
        <is>
          <t>null</t>
        </is>
      </c>
      <c r="I72" s="10" t="inlineStr">
        <is>
          <t>Sí</t>
        </is>
      </c>
      <c r="J72" s="10" t="inlineStr">
        <is>
          <t>Siempre nulo mientras no exista el dato</t>
        </is>
      </c>
      <c r="K72" s="10" t="inlineStr">
        <is>
          <t>Pública</t>
        </is>
      </c>
      <c r="L72" s="10" t="inlineStr">
        <is>
          <t>Ninguna: se deja nulo en vez de inventarlo</t>
        </is>
      </c>
      <c r="M72" s="10" t="inlineStr">
        <is>
          <t>¿Hay brecha digital entre comunas? (no se puede responder aún)</t>
        </is>
      </c>
    </row>
    <row r="73">
      <c r="A73" s="10" t="inlineStr">
        <is>
          <t>F055</t>
        </is>
      </c>
      <c r="B73" s="10" t="inlineStr">
        <is>
          <t>lago/movilidad.json</t>
        </is>
      </c>
      <c r="C73" s="10" t="inlineStr">
        <is>
          <t>cifras.afluencia_metro_dia_habil.valor</t>
        </is>
      </c>
      <c r="D73" s="10" t="inlineStr">
        <is>
          <t>Afluencia Metro por línea y hora</t>
        </is>
      </c>
      <c r="E73" s="10" t="inlineStr">
        <is>
          <t>Entradas promedio al Metro en un día hábil</t>
        </is>
      </c>
      <c r="F73" s="10" t="inlineStr">
        <is>
          <t>Entero</t>
        </is>
      </c>
      <c r="G73" s="10" t="inlineStr">
        <is>
          <t>entradas/día</t>
        </is>
      </c>
      <c r="H73" s="10" t="inlineStr">
        <is>
          <t>997241</t>
        </is>
      </c>
      <c r="I73" s="10" t="inlineStr">
        <is>
          <t>No</t>
        </is>
      </c>
      <c r="J73" s="10" t="inlineStr">
        <is>
          <t>≥ 0</t>
        </is>
      </c>
      <c r="K73" s="10" t="inlineStr">
        <is>
          <t>Pública</t>
        </is>
      </c>
      <c r="L73" s="10" t="inlineStr">
        <is>
          <t>Se promedian los días hábiles del último mes de la fuente</t>
        </is>
      </c>
      <c r="M73" s="10" t="inlineStr">
        <is>
          <t>¿Cuánta gente usa el Metro?</t>
        </is>
      </c>
    </row>
    <row r="74">
      <c r="A74" s="10" t="inlineStr">
        <is>
          <t>F055</t>
        </is>
      </c>
      <c r="B74" s="10" t="inlineStr">
        <is>
          <t>lago/movilidad.json</t>
        </is>
      </c>
      <c r="C74" s="10" t="inlineStr">
        <is>
          <t>listas.afluencia_por_linea[].valor</t>
        </is>
      </c>
      <c r="D74" s="10" t="inlineStr">
        <is>
          <t>Afluencia Metro por línea y hora</t>
        </is>
      </c>
      <c r="E74" s="10" t="inlineStr">
        <is>
          <t>Entradas acumuladas de una línea del sistema</t>
        </is>
      </c>
      <c r="F74" s="10" t="inlineStr">
        <is>
          <t>Entero</t>
        </is>
      </c>
      <c r="G74" s="10" t="inlineStr">
        <is>
          <t>entradas</t>
        </is>
      </c>
      <c r="H74" s="10" t="inlineStr">
        <is>
          <t>119709152</t>
        </is>
      </c>
      <c r="I74" s="10" t="inlineStr">
        <is>
          <t>No</t>
        </is>
      </c>
      <c r="J74" s="10" t="inlineStr">
        <is>
          <t>≥ 0</t>
        </is>
      </c>
      <c r="K74" s="10" t="inlineStr">
        <is>
          <t>Pública</t>
        </is>
      </c>
      <c r="L74" s="10" t="inlineStr">
        <is>
          <t>Se suman las entradas por línea en el periodo</t>
        </is>
      </c>
      <c r="M74" s="10" t="inlineStr">
        <is>
          <t>¿Qué líneas se usan más?</t>
        </is>
      </c>
    </row>
    <row r="75">
      <c r="A75" s="10" t="inlineStr">
        <is>
          <t>F055</t>
        </is>
      </c>
      <c r="B75" s="10" t="inlineStr">
        <is>
          <t>lago/movilidad.json</t>
        </is>
      </c>
      <c r="C75" s="10" t="inlineStr">
        <is>
          <t>series.afluencia_metro_mensual.puntos</t>
        </is>
      </c>
      <c r="D75" s="10" t="inlineStr">
        <is>
          <t>Afluencia Metro por línea y hora</t>
        </is>
      </c>
      <c r="E75" s="10" t="inlineStr">
        <is>
          <t>Entradas promedio por día hábil, mes a mes en 2026</t>
        </is>
      </c>
      <c r="F75" s="10" t="inlineStr">
        <is>
          <t>Entero</t>
        </is>
      </c>
      <c r="G75" s="10" t="inlineStr">
        <is>
          <t>entradas/día</t>
        </is>
      </c>
      <c r="H75" s="10" t="inlineStr">
        <is>
          <t>["2026-01", 888413]</t>
        </is>
      </c>
      <c r="I75" s="10" t="inlineStr">
        <is>
          <t>No</t>
        </is>
      </c>
      <c r="J75" s="10" t="inlineStr">
        <is>
          <t>Pares [AAAA-MM, entradas/día]</t>
        </is>
      </c>
      <c r="K75" s="10" t="inlineStr">
        <is>
          <t>Pública</t>
        </is>
      </c>
      <c r="L75" s="10" t="inlineStr">
        <is>
          <t>Se promedian los días hábiles de cada mes</t>
        </is>
      </c>
      <c r="M75" s="10" t="inlineStr">
        <is>
          <t>¿Cómo cambia el uso del Metro durante el año?</t>
        </is>
      </c>
    </row>
    <row r="76">
      <c r="A76" s="10" t="inlineStr">
        <is>
          <t>F065</t>
        </is>
      </c>
      <c r="B76" s="10" t="inlineStr">
        <is>
          <t>lago/lentes.json</t>
        </is>
      </c>
      <c r="C76" s="10" t="inlineStr">
        <is>
          <t>cifras.victimas_viales.valor</t>
        </is>
      </c>
      <c r="D76" s="10" t="inlineStr">
        <is>
          <t>Víctimas en incidentes viales (georreferenciadas)</t>
        </is>
      </c>
      <c r="E76" s="10" t="inlineStr">
        <is>
          <t>Víctimas en siniestros viales entre 2019 y 2021</t>
        </is>
      </c>
      <c r="F76" s="10" t="inlineStr">
        <is>
          <t>Entero</t>
        </is>
      </c>
      <c r="G76" s="10" t="inlineStr">
        <is>
          <t>víctimas</t>
        </is>
      </c>
      <c r="H76" s="10" t="inlineStr">
        <is>
          <t>68898</t>
        </is>
      </c>
      <c r="I76" s="10" t="inlineStr">
        <is>
          <t>No</t>
        </is>
      </c>
      <c r="J76" s="10" t="inlineStr">
        <is>
          <t>≥ 0</t>
        </is>
      </c>
      <c r="K76" s="10" t="inlineStr">
        <is>
          <t>Pública</t>
        </is>
      </c>
      <c r="L76" s="10" t="inlineStr">
        <is>
          <t>Se cuentan las víctimas de la capa georreferenciada; no se conserva edad, sexo ni identificación</t>
        </is>
      </c>
      <c r="M76" s="10" t="inlineStr">
        <is>
          <t>¿Dónde y cuánto se accidentan las personas?</t>
        </is>
      </c>
    </row>
    <row r="77">
      <c r="A77" s="10" t="inlineStr">
        <is>
          <t>F066</t>
        </is>
      </c>
      <c r="B77" s="10" t="inlineStr">
        <is>
          <t>lago/lentes.json</t>
        </is>
      </c>
      <c r="C77" s="10" t="inlineStr">
        <is>
          <t>cifras.intersecciones_aforadas.valor</t>
        </is>
      </c>
      <c r="D77" s="10" t="inlineStr">
        <is>
          <t>Aforos vehiculares por intersección</t>
        </is>
      </c>
      <c r="E77" s="10" t="inlineStr">
        <is>
          <t>Intersecciones con conteo vehicular entre 2017 y 2019</t>
        </is>
      </c>
      <c r="F77" s="10" t="inlineStr">
        <is>
          <t>Entero</t>
        </is>
      </c>
      <c r="G77" s="10" t="inlineStr">
        <is>
          <t>intersecciones</t>
        </is>
      </c>
      <c r="H77" s="10" t="inlineStr">
        <is>
          <t>152</t>
        </is>
      </c>
      <c r="I77" s="10" t="inlineStr">
        <is>
          <t>No</t>
        </is>
      </c>
      <c r="J77" s="10" t="inlineStr">
        <is>
          <t>≥ 0</t>
        </is>
      </c>
      <c r="K77" s="10" t="inlineStr">
        <is>
          <t>Pública</t>
        </is>
      </c>
      <c r="L77" s="10" t="inlineStr">
        <is>
          <t>Se cuentan los nodos distintos</t>
        </is>
      </c>
      <c r="M77" s="10" t="inlineStr">
        <is>
          <t>¿Qué parte de la red vial tiene medición de tráfico?</t>
        </is>
      </c>
    </row>
    <row r="78">
      <c r="A78" s="10" t="inlineStr">
        <is>
          <t>F068</t>
        </is>
      </c>
      <c r="B78" s="10" t="inlineStr">
        <is>
          <t>lago/lentes.json</t>
        </is>
      </c>
      <c r="C78" s="10" t="inlineStr">
        <is>
          <t>cifras.estaciones_metro.valor</t>
        </is>
      </c>
      <c r="D78" s="10" t="inlineStr">
        <is>
          <t>Estaciones y líneas del Sistema Metro</t>
        </is>
      </c>
      <c r="E78" s="10" t="inlineStr">
        <is>
          <t>Estaciones del Sistema Metro</t>
        </is>
      </c>
      <c r="F78" s="10" t="inlineStr">
        <is>
          <t>Entero</t>
        </is>
      </c>
      <c r="G78" s="10" t="inlineStr">
        <is>
          <t>estaciones</t>
        </is>
      </c>
      <c r="H78" s="10" t="inlineStr">
        <is>
          <t>167</t>
        </is>
      </c>
      <c r="I78" s="10" t="inlineStr">
        <is>
          <t>No</t>
        </is>
      </c>
      <c r="J78" s="10" t="inlineStr">
        <is>
          <t>≥ 0</t>
        </is>
      </c>
      <c r="K78" s="10" t="inlineStr">
        <is>
          <t>Pública</t>
        </is>
      </c>
      <c r="L78" s="10" t="inlineStr">
        <is>
          <t>Se cuentan los puntos de la capa</t>
        </is>
      </c>
      <c r="M78" s="10" t="inlineStr">
        <is>
          <t>¿Qué tan cubierta está la ciudad por transporte masivo?</t>
        </is>
      </c>
    </row>
    <row r="79">
      <c r="A79" s="10" t="inlineStr">
        <is>
          <t>F069</t>
        </is>
      </c>
      <c r="B79" s="10" t="inlineStr">
        <is>
          <t>lago/lentes.json</t>
        </is>
      </c>
      <c r="C79" s="10" t="inlineStr">
        <is>
          <t>cifras.estaciones_encicla.valor</t>
        </is>
      </c>
      <c r="D79" s="10" t="inlineStr">
        <is>
          <t>Estaciones EnCicla y ciclorrutas</t>
        </is>
      </c>
      <c r="E79" s="10" t="inlineStr">
        <is>
          <t>Estaciones del sistema de bicicletas públicas</t>
        </is>
      </c>
      <c r="F79" s="10" t="inlineStr">
        <is>
          <t>Entero</t>
        </is>
      </c>
      <c r="G79" s="10" t="inlineStr">
        <is>
          <t>estaciones</t>
        </is>
      </c>
      <c r="H79" s="10" t="inlineStr">
        <is>
          <t>119</t>
        </is>
      </c>
      <c r="I79" s="10" t="inlineStr">
        <is>
          <t>No</t>
        </is>
      </c>
      <c r="J79" s="10" t="inlineStr">
        <is>
          <t>≥ 0</t>
        </is>
      </c>
      <c r="K79" s="10" t="inlineStr">
        <is>
          <t>Pública</t>
        </is>
      </c>
      <c r="L79" s="10" t="inlineStr">
        <is>
          <t>Se cuentan los puntos y se recortan a Medellín</t>
        </is>
      </c>
      <c r="M79" s="10" t="inlineStr">
        <is>
          <t>¿Hay infraestructura para la bicicleta?</t>
        </is>
      </c>
    </row>
    <row r="80">
      <c r="A80" s="10" t="inlineStr">
        <is>
          <t>F057</t>
        </is>
      </c>
      <c r="B80" s="10" t="inlineStr">
        <is>
          <t>lago/gemelo.json</t>
        </is>
      </c>
      <c r="C80" s="10" t="inlineStr">
        <is>
          <t>cifras.construcciones.valor</t>
        </is>
      </c>
      <c r="D80" s="10" t="inlineStr">
        <is>
          <t>Construcciones urbanas y rurales del catastro distrital</t>
        </is>
      </c>
      <c r="E80" s="10" t="inlineStr">
        <is>
          <t>Construcciones registradas en el catastro del Distrito</t>
        </is>
      </c>
      <c r="F80" s="10" t="inlineStr">
        <is>
          <t>Entero</t>
        </is>
      </c>
      <c r="G80" s="10" t="inlineStr">
        <is>
          <t>construcciones</t>
        </is>
      </c>
      <c r="H80" s="10" t="inlineStr">
        <is>
          <t>1078553</t>
        </is>
      </c>
      <c r="I80" s="10" t="inlineStr">
        <is>
          <t>No</t>
        </is>
      </c>
      <c r="J80" s="10" t="inlineStr">
        <is>
          <t>&gt; 0</t>
        </is>
      </c>
      <c r="K80" s="10" t="inlineStr">
        <is>
          <t>Pública</t>
        </is>
      </c>
      <c r="L80" s="10" t="inlineStr">
        <is>
          <t>Se cuentan las huellas urbanas y rurales; no se guarda matrícula ni propietario</t>
        </is>
      </c>
      <c r="M80" s="10" t="inlineStr">
        <is>
          <t>¿Qué tan construida está la ciudad?</t>
        </is>
      </c>
    </row>
    <row r="81">
      <c r="A81" s="10" t="inlineStr">
        <is>
          <t>F057</t>
        </is>
      </c>
      <c r="B81" s="10" t="inlineStr">
        <is>
          <t>lago/gemelo.json</t>
        </is>
      </c>
      <c r="C81" s="10" t="inlineStr">
        <is>
          <t>cifras.pisos_promedio.valor</t>
        </is>
      </c>
      <c r="D81" s="10" t="inlineStr">
        <is>
          <t>Construcciones urbanas y rurales del catastro distrital</t>
        </is>
      </c>
      <c r="E81" s="10" t="inlineStr">
        <is>
          <t>Promedio de pisos por construcción</t>
        </is>
      </c>
      <c r="F81" s="10" t="inlineStr">
        <is>
          <t>Decimal</t>
        </is>
      </c>
      <c r="G81" s="10" t="inlineStr">
        <is>
          <t>pisos</t>
        </is>
      </c>
      <c r="H81" s="10" t="inlineStr">
        <is>
          <t>2.12</t>
        </is>
      </c>
      <c r="I81" s="10" t="inlineStr">
        <is>
          <t>No</t>
        </is>
      </c>
      <c r="J81" s="10" t="inlineStr">
        <is>
          <t>≥ 1</t>
        </is>
      </c>
      <c r="K81" s="10" t="inlineStr">
        <is>
          <t>Pública</t>
        </is>
      </c>
      <c r="L81" s="10" t="inlineStr">
        <is>
          <t>Se promedia el campo de pisos de las construcciones</t>
        </is>
      </c>
      <c r="M81" s="10" t="inlineStr">
        <is>
          <t>¿Qué tan densa es la ciudad en altura?</t>
        </is>
      </c>
    </row>
    <row r="82">
      <c r="A82" s="10" t="inlineStr">
        <is>
          <t>F057</t>
        </is>
      </c>
      <c r="B82" s="10" t="inlineStr">
        <is>
          <t>lago/gemelo.json</t>
        </is>
      </c>
      <c r="C82" s="10" t="inlineStr">
        <is>
          <t>listas.construcciones_mas_altas[].cbml</t>
        </is>
      </c>
      <c r="D82" s="10" t="inlineStr">
        <is>
          <t>Construcciones urbanas y rurales del catastro distrital</t>
        </is>
      </c>
      <c r="E82" s="10" t="inlineStr">
        <is>
          <t>Código catastral del predio de una de las construcciones más altas; identifica el predio, no a su dueño</t>
        </is>
      </c>
      <c r="F82" s="10" t="inlineStr">
        <is>
          <t>Código</t>
        </is>
      </c>
      <c r="G82" s="10" t="inlineStr">
        <is>
          <t>n/a</t>
        </is>
      </c>
      <c r="H82" s="10" t="inlineStr">
        <is>
          <t>10190500002</t>
        </is>
      </c>
      <c r="I82" s="10" t="inlineStr">
        <is>
          <t>No</t>
        </is>
      </c>
      <c r="J82" s="10" t="inlineStr">
        <is>
          <t>11 dígitos</t>
        </is>
      </c>
      <c r="K82" s="10" t="inlineStr">
        <is>
          <t>Interna</t>
        </is>
      </c>
      <c r="L82" s="10" t="inlineStr">
        <is>
          <t>Se conserva el código para poder ubicar el predio</t>
        </is>
      </c>
      <c r="M82" s="10" t="inlineStr">
        <is>
          <t>¿Cuáles son los edificios más altos?</t>
        </is>
      </c>
    </row>
    <row r="83">
      <c r="A83" s="10" t="inlineStr">
        <is>
          <t>F057</t>
        </is>
      </c>
      <c r="B83" s="10" t="inlineStr">
        <is>
          <t>lago/gemelo.json</t>
        </is>
      </c>
      <c r="C83" s="10" t="inlineStr">
        <is>
          <t>listas.construcciones_mas_altas[].pisos</t>
        </is>
      </c>
      <c r="D83" s="10" t="inlineStr">
        <is>
          <t>Construcciones urbanas y rurales del catastro distrital</t>
        </is>
      </c>
      <c r="E83" s="10" t="inlineStr">
        <is>
          <t>Pisos de una construcción</t>
        </is>
      </c>
      <c r="F83" s="10" t="inlineStr">
        <is>
          <t>Entero</t>
        </is>
      </c>
      <c r="G83" s="10" t="inlineStr">
        <is>
          <t>pisos</t>
        </is>
      </c>
      <c r="H83" s="10" t="inlineStr">
        <is>
          <t>39</t>
        </is>
      </c>
      <c r="I83" s="10" t="inlineStr">
        <is>
          <t>No</t>
        </is>
      </c>
      <c r="J83" s="10" t="inlineStr">
        <is>
          <t>≥ 1</t>
        </is>
      </c>
      <c r="K83" s="10" t="inlineStr">
        <is>
          <t>Pública</t>
        </is>
      </c>
      <c r="L83" s="10" t="inlineStr">
        <is>
          <t>Se ordenan por pisos y se dejan las 15 mayores</t>
        </is>
      </c>
      <c r="M83" s="10" t="inlineStr">
        <is>
          <t>¿Cuáles son los edificios más altos?</t>
        </is>
      </c>
    </row>
    <row r="84">
      <c r="A84" s="10" t="inlineStr">
        <is>
          <t>F058</t>
        </is>
      </c>
      <c r="B84" s="10" t="inlineStr">
        <is>
          <t>lago/gemelo.json</t>
        </is>
      </c>
      <c r="C84" s="10" t="inlineStr">
        <is>
          <t>cifras.construcciones_sobre_altura_normativa.valor</t>
        </is>
      </c>
      <c r="D84" s="10" t="inlineStr">
        <is>
          <t>POT (Acuerdo 48 de 2014) · tratamientos urbanos con altura normativa</t>
        </is>
      </c>
      <c r="E84" s="10" t="inlineStr">
        <is>
          <t>Construcciones con más pisos que la altura que el POT permite en su zona</t>
        </is>
      </c>
      <c r="F84" s="10" t="inlineStr">
        <is>
          <t>Entero</t>
        </is>
      </c>
      <c r="G84" s="10" t="inlineStr">
        <is>
          <t>construcciones</t>
        </is>
      </c>
      <c r="H84" s="10" t="inlineStr">
        <is>
          <t>67477</t>
        </is>
      </c>
      <c r="I84" s="10" t="inlineStr">
        <is>
          <t>No</t>
        </is>
      </c>
      <c r="J84" s="10" t="inlineStr">
        <is>
          <t>≥ 0</t>
        </is>
      </c>
      <c r="K84" s="10" t="inlineStr">
        <is>
          <t>Pública</t>
        </is>
      </c>
      <c r="L84" s="10" t="inlineStr">
        <is>
          <t>Cruce espacial entre construcciones y polígonos de tratamiento; compara pisos con altura normativa</t>
        </is>
      </c>
      <c r="M84" s="10" t="inlineStr">
        <is>
          <t>¿Se construye por encima de la norma?</t>
        </is>
      </c>
    </row>
    <row r="85">
      <c r="A85" s="10" t="inlineStr">
        <is>
          <t>F056</t>
        </is>
      </c>
      <c r="B85" s="10" t="inlineStr">
        <is>
          <t>lago/gemelo.json</t>
        </is>
      </c>
      <c r="C85" s="10" t="inlineStr">
        <is>
          <t>cifras.barrios.valor</t>
        </is>
      </c>
      <c r="D85" s="10" t="inlineStr">
        <is>
          <t>Comunas, corregimientos, barrios y veredas de Medellín</t>
        </is>
      </c>
      <c r="E85" s="10" t="inlineStr">
        <is>
          <t>Barrios del Distrito</t>
        </is>
      </c>
      <c r="F85" s="10" t="inlineStr">
        <is>
          <t>Entero</t>
        </is>
      </c>
      <c r="G85" s="10" t="inlineStr">
        <is>
          <t>barrios</t>
        </is>
      </c>
      <c r="H85" s="10" t="inlineStr">
        <is>
          <t>271</t>
        </is>
      </c>
      <c r="I85" s="10" t="inlineStr">
        <is>
          <t>No</t>
        </is>
      </c>
      <c r="J85" s="10" t="inlineStr">
        <is>
          <t>&gt; 0</t>
        </is>
      </c>
      <c r="K85" s="10" t="inlineStr">
        <is>
          <t>Pública</t>
        </is>
      </c>
      <c r="L85" s="10" t="inlineStr">
        <is>
          <t>Se cuentan los polígonos de la capa</t>
        </is>
      </c>
      <c r="M85" s="10" t="inlineStr">
        <is>
          <t>¿Cómo se divide la ciudad?</t>
        </is>
      </c>
    </row>
    <row r="86">
      <c r="A86" s="10" t="inlineStr">
        <is>
          <t>F063</t>
        </is>
      </c>
      <c r="B86" s="10" t="inlineStr">
        <is>
          <t>lago/lentes.json</t>
        </is>
      </c>
      <c r="C86" s="10" t="inlineStr">
        <is>
          <t>cifras.km_alta_tension.valor</t>
        </is>
      </c>
      <c r="D86" s="10" t="inlineStr">
        <is>
          <t>Subestaciones y redes eléctricas del Valle de Aburrá (riesgo tecnológico)</t>
        </is>
      </c>
      <c r="E86" s="10" t="inlineStr">
        <is>
          <t>Longitud de líneas de alta tensión dentro de Medellín</t>
        </is>
      </c>
      <c r="F86" s="10" t="inlineStr">
        <is>
          <t>Decimal</t>
        </is>
      </c>
      <c r="G86" s="10" t="inlineStr">
        <is>
          <t>km</t>
        </is>
      </c>
      <c r="H86" s="10" t="inlineStr">
        <is>
          <t>211</t>
        </is>
      </c>
      <c r="I86" s="10" t="inlineStr">
        <is>
          <t>No</t>
        </is>
      </c>
      <c r="J86" s="10" t="inlineStr">
        <is>
          <t>≥ 0</t>
        </is>
      </c>
      <c r="K86" s="10" t="inlineStr">
        <is>
          <t>Pública</t>
        </is>
      </c>
      <c r="L86" s="10" t="inlineStr">
        <is>
          <t>Se recortan las líneas al límite de Medellín y se suma su longitud</t>
        </is>
      </c>
      <c r="M86" s="10" t="inlineStr">
        <is>
          <t>¿Cuánta infraestructura eléctrica hay en la ciudad?</t>
        </is>
      </c>
    </row>
    <row r="87">
      <c r="A87" s="10" t="inlineStr">
        <is>
          <t>F064</t>
        </is>
      </c>
      <c r="B87" s="10" t="inlineStr">
        <is>
          <t>lago/lentes.json</t>
        </is>
      </c>
      <c r="C87" s="10" t="inlineStr">
        <is>
          <t>listas.territorios[].indice_construccion_bruto</t>
        </is>
      </c>
      <c r="D87" s="10" t="inlineStr">
        <is>
          <t>Construcciones del catastro con su comuna y altura normativa (cruce del gemelo)</t>
        </is>
      </c>
      <c r="E87" s="10" t="inlineStr">
        <is>
          <t>Metros cuadrados construidos por cada metro cuadrado de la comuna</t>
        </is>
      </c>
      <c r="F87" s="10" t="inlineStr">
        <is>
          <t>Decimal</t>
        </is>
      </c>
      <c r="G87" s="10" t="inlineStr">
        <is>
          <t>m²/m²</t>
        </is>
      </c>
      <c r="H87" s="10" t="inlineStr">
        <is>
          <t>0.718</t>
        </is>
      </c>
      <c r="I87" s="10" t="inlineStr">
        <is>
          <t>Sí</t>
        </is>
      </c>
      <c r="J87" s="10" t="inlineStr">
        <is>
          <t>≥ 0</t>
        </is>
      </c>
      <c r="K87" s="10" t="inlineStr">
        <is>
          <t>Pública</t>
        </is>
      </c>
      <c r="L87" s="10" t="inlineStr">
        <is>
          <t>suma del área construida de todos los pisos / área de la comuna</t>
        </is>
      </c>
      <c r="M87" s="10" t="inlineStr">
        <is>
          <t>¿Qué comunas están más densificadas?</t>
        </is>
      </c>
    </row>
    <row r="88">
      <c r="A88" s="10" t="inlineStr">
        <is>
          <t>F063</t>
        </is>
      </c>
      <c r="B88" s="10" t="inlineStr">
        <is>
          <t>lago/lentes.json</t>
        </is>
      </c>
      <c r="C88" s="10" t="inlineStr">
        <is>
          <t>listas.territorios[].indice_energia</t>
        </is>
      </c>
      <c r="D88" s="10" t="inlineStr">
        <is>
          <t>Subestaciones y redes eléctricas del Valle de Aburrá (riesgo tecnológico)</t>
        </is>
      </c>
      <c r="E88" s="10" t="inlineStr">
        <is>
          <t>Índice 0–100 de presión sobre la red eléctrica de la comuna</t>
        </is>
      </c>
      <c r="F88" s="10" t="inlineStr">
        <is>
          <t>Decimal</t>
        </is>
      </c>
      <c r="G88" s="10" t="inlineStr">
        <is>
          <t>índice 0–100</t>
        </is>
      </c>
      <c r="H88" s="10" t="inlineStr">
        <is>
          <t>65.3</t>
        </is>
      </c>
      <c r="I88" s="10" t="inlineStr">
        <is>
          <t>Sí</t>
        </is>
      </c>
      <c r="J88" s="10" t="inlineStr">
        <is>
          <t>0–100</t>
        </is>
      </c>
      <c r="K88" s="10" t="inlineStr">
        <is>
          <t>Pública</t>
        </is>
      </c>
      <c r="L88" s="10" t="inlineStr">
        <is>
          <t>Se normalizan los km de red por km² y las subestaciones y se combinan según listas.metodo_indices</t>
        </is>
      </c>
      <c r="M88" s="10" t="inlineStr">
        <is>
          <t>¿Dónde está más exigida la infraestructura eléctrica?</t>
        </is>
      </c>
    </row>
    <row r="89">
      <c r="A89" s="10" t="inlineStr">
        <is>
          <t>F070</t>
        </is>
      </c>
      <c r="B89" s="10" t="inlineStr">
        <is>
          <t>lago/territorio.json</t>
        </is>
      </c>
      <c r="C89" s="10" t="inlineStr">
        <is>
          <t>cifras.ha_amenaza_alta_masa.valor</t>
        </is>
      </c>
      <c r="D89" s="10" t="inlineStr">
        <is>
          <t>Amenazas y zonas de riesgo por movimientos en masa, inundaciones y avenidas torrenciales</t>
        </is>
      </c>
      <c r="E89" s="10" t="inlineStr">
        <is>
          <t>Hectáreas en amenaza alta por movimientos en masa</t>
        </is>
      </c>
      <c r="F89" s="10" t="inlineStr">
        <is>
          <t>Decimal</t>
        </is>
      </c>
      <c r="G89" s="10" t="inlineStr">
        <is>
          <t>ha</t>
        </is>
      </c>
      <c r="H89" s="10" t="inlineStr">
        <is>
          <t>2946</t>
        </is>
      </c>
      <c r="I89" s="10" t="inlineStr">
        <is>
          <t>No</t>
        </is>
      </c>
      <c r="J89" s="10" t="inlineStr">
        <is>
          <t>≥ 0</t>
        </is>
      </c>
      <c r="K89" s="10" t="inlineStr">
        <is>
          <t>Pública</t>
        </is>
      </c>
      <c r="L89" s="10" t="inlineStr">
        <is>
          <t>Se suma el área de los polígonos de amenaza alta dentro del suelo del Distrito</t>
        </is>
      </c>
      <c r="M89" s="10" t="inlineStr">
        <is>
          <t>¿Qué parte del territorio está en riesgo?</t>
        </is>
      </c>
    </row>
    <row r="90">
      <c r="A90" s="10" t="inlineStr">
        <is>
          <t>F070</t>
        </is>
      </c>
      <c r="B90" s="10" t="inlineStr">
        <is>
          <t>lago/territorio.json</t>
        </is>
      </c>
      <c r="C90" s="10" t="inlineStr">
        <is>
          <t>cifras.construcciones_amenaza_alta.valor</t>
        </is>
      </c>
      <c r="D90" s="10" t="inlineStr">
        <is>
          <t>Amenazas y zonas de riesgo por movimientos en masa, inundaciones y avenidas torrenciales</t>
        </is>
      </c>
      <c r="E90" s="10" t="inlineStr">
        <is>
          <t>Construcciones dentro de zonas de amenaza alta por movimientos en masa, inundación o avenida torrencial</t>
        </is>
      </c>
      <c r="F90" s="10" t="inlineStr">
        <is>
          <t>Entero</t>
        </is>
      </c>
      <c r="G90" s="10" t="inlineStr">
        <is>
          <t>construcciones</t>
        </is>
      </c>
      <c r="H90" s="10" t="inlineStr">
        <is>
          <t>41219</t>
        </is>
      </c>
      <c r="I90" s="10" t="inlineStr">
        <is>
          <t>No</t>
        </is>
      </c>
      <c r="J90" s="10" t="inlineStr">
        <is>
          <t>≥ 0</t>
        </is>
      </c>
      <c r="K90" s="10" t="inlineStr">
        <is>
          <t>Pública</t>
        </is>
      </c>
      <c r="L90" s="10" t="inlineStr">
        <is>
          <t>Cruce espacial entre construcciones del catastro y polígonos de amenaza alta</t>
        </is>
      </c>
      <c r="M90" s="10" t="inlineStr">
        <is>
          <t>¿Cuánta construcción está expuesta a desastres?</t>
        </is>
      </c>
    </row>
    <row r="91">
      <c r="A91" s="10" t="inlineStr">
        <is>
          <t>F071</t>
        </is>
      </c>
      <c r="B91" s="10" t="inlineStr">
        <is>
          <t>lago/territorio.json</t>
        </is>
      </c>
      <c r="C91" s="10" t="inlineStr">
        <is>
          <t>cifras.pct_baja_mixtura.valor</t>
        </is>
      </c>
      <c r="D91" s="10" t="inlineStr">
        <is>
          <t>Usos generales del suelo urbano</t>
        </is>
      </c>
      <c r="E91" s="10" t="inlineStr">
        <is>
          <t>Parte del suelo urbano que es de baja mixtura (predominio residencial)</t>
        </is>
      </c>
      <c r="F91" s="10" t="inlineStr">
        <is>
          <t>Decimal</t>
        </is>
      </c>
      <c r="G91" s="10" t="inlineStr">
        <is>
          <t>%</t>
        </is>
      </c>
      <c r="H91" s="10" t="inlineStr">
        <is>
          <t>39.6</t>
        </is>
      </c>
      <c r="I91" s="10" t="inlineStr">
        <is>
          <t>No</t>
        </is>
      </c>
      <c r="J91" s="10" t="inlineStr">
        <is>
          <t>0–100</t>
        </is>
      </c>
      <c r="K91" s="10" t="inlineStr">
        <is>
          <t>Pública</t>
        </is>
      </c>
      <c r="L91" s="10" t="inlineStr">
        <is>
          <t>área de baja mixtura / suelo urbano con uso asignado × 100</t>
        </is>
      </c>
      <c r="M91" s="10" t="inlineStr">
        <is>
          <t>¿Qué tan mezclados están los usos del suelo?</t>
        </is>
      </c>
    </row>
    <row r="92">
      <c r="A92" s="10" t="inlineStr">
        <is>
          <t>F072</t>
        </is>
      </c>
      <c r="B92" s="10" t="inlineStr">
        <is>
          <t>lago/territorio.json</t>
        </is>
      </c>
      <c r="C92" s="10" t="inlineStr">
        <is>
          <t>listas.tratamientos[].hectareas</t>
        </is>
      </c>
      <c r="D92" s="10" t="inlineStr">
        <is>
          <t>Tratamientos urbanos y altura normativa</t>
        </is>
      </c>
      <c r="E92" s="10" t="inlineStr">
        <is>
          <t>Hectáreas bajo cada tratamiento urbano (consolidación, renovación, desarrollo, etc.)</t>
        </is>
      </c>
      <c r="F92" s="10" t="inlineStr">
        <is>
          <t>Decimal</t>
        </is>
      </c>
      <c r="G92" s="10" t="inlineStr">
        <is>
          <t>ha</t>
        </is>
      </c>
      <c r="H92" s="10" t="inlineStr">
        <is>
          <t>2445.7</t>
        </is>
      </c>
      <c r="I92" s="10" t="inlineStr">
        <is>
          <t>No</t>
        </is>
      </c>
      <c r="J92" s="10" t="inlineStr">
        <is>
          <t>≥ 0</t>
        </is>
      </c>
      <c r="K92" s="10" t="inlineStr">
        <is>
          <t>Pública</t>
        </is>
      </c>
      <c r="L92" s="10" t="inlineStr">
        <is>
          <t>Se agrupan los polígonos por tratamiento y se suma el área</t>
        </is>
      </c>
      <c r="M92" s="10" t="inlineStr">
        <is>
          <t>¿Cómo planea el POT que cambie cada zona?</t>
        </is>
      </c>
    </row>
    <row r="93">
      <c r="A93" s="10" t="inlineStr">
        <is>
          <t>F073</t>
        </is>
      </c>
      <c r="B93" s="10" t="inlineStr">
        <is>
          <t>lago/territorio.json</t>
        </is>
      </c>
      <c r="C93" s="10" t="inlineStr">
        <is>
          <t>cifras.pot_vigente.valor</t>
        </is>
      </c>
      <c r="D93" s="10" t="inlineStr">
        <is>
          <t>Capa "POT 2025" (mapa provisional de la revisión de mediano plazo)</t>
        </is>
      </c>
      <c r="E93" s="10" t="inlineStr">
        <is>
          <t>Norma del POT que rige hoy; se registra la vigente porque el mapa de 2025 es provisional</t>
        </is>
      </c>
      <c r="F93" s="10" t="inlineStr">
        <is>
          <t>Texto</t>
        </is>
      </c>
      <c r="G93" s="10" t="inlineStr">
        <is>
          <t>n/a</t>
        </is>
      </c>
      <c r="H93" s="10" t="inlineStr">
        <is>
          <t>Acuerdo 48 de 2014</t>
        </is>
      </c>
      <c r="I93" s="10" t="inlineStr">
        <is>
          <t>No</t>
        </is>
      </c>
      <c r="J93" s="10" t="inlineStr">
        <is>
          <t>Texto</t>
        </is>
      </c>
      <c r="K93" s="10" t="inlineStr">
        <is>
          <t>Pública</t>
        </is>
      </c>
      <c r="L93" s="10" t="inlineStr">
        <is>
          <t>Constante fijada en el código de la ingesta, no leída del servicio</t>
        </is>
      </c>
      <c r="M93" s="10" t="inlineStr">
        <is>
          <t>¿Qué norma está en vigor?</t>
        </is>
      </c>
    </row>
    <row r="94">
      <c r="A94" s="10" t="inlineStr">
        <is>
          <t>F074</t>
        </is>
      </c>
      <c r="B94" s="10" t="inlineStr">
        <is>
          <t>lago/territorio.json</t>
        </is>
      </c>
      <c r="C94" s="10" t="inlineStr">
        <is>
          <t>listas.bic[].nombre</t>
        </is>
      </c>
      <c r="D94" s="10" t="inlineStr">
        <is>
          <t>Bienes de interés cultural (BIC)</t>
        </is>
      </c>
      <c r="E94" s="10" t="inlineStr">
        <is>
          <t>Nombre de un bien de interés cultural</t>
        </is>
      </c>
      <c r="F94" s="10" t="inlineStr">
        <is>
          <t>Texto</t>
        </is>
      </c>
      <c r="G94" s="10" t="inlineStr">
        <is>
          <t>n/a</t>
        </is>
      </c>
      <c r="H94" s="10" t="inlineStr">
        <is>
          <t>Campus Universidad de Antioquia (El Chagualo)</t>
        </is>
      </c>
      <c r="I94" s="10" t="inlineStr">
        <is>
          <t>No</t>
        </is>
      </c>
      <c r="J94" s="10" t="inlineStr">
        <is>
          <t>Texto libre</t>
        </is>
      </c>
      <c r="K94" s="10" t="inlineStr">
        <is>
          <t>Pública</t>
        </is>
      </c>
      <c r="L94" s="10" t="inlineStr">
        <is>
          <t>Se copia sin cambios</t>
        </is>
      </c>
      <c r="M94" s="10" t="inlineStr">
        <is>
          <t>¿Qué patrimonio hay y dónde?</t>
        </is>
      </c>
    </row>
    <row r="95">
      <c r="A95" s="10" t="inlineStr">
        <is>
          <t>F075</t>
        </is>
      </c>
      <c r="B95" s="10" t="inlineStr">
        <is>
          <t>lago/territorio.json</t>
        </is>
      </c>
      <c r="C95" s="10" t="inlineStr">
        <is>
          <t>cifras.bibliotecas.valor</t>
        </is>
      </c>
      <c r="D95" s="10" t="inlineStr">
        <is>
          <t>Red de Bibliotecas de Medellín</t>
        </is>
      </c>
      <c r="E95" s="10" t="inlineStr">
        <is>
          <t>Bibliotecas de la Red de Bibliotecas</t>
        </is>
      </c>
      <c r="F95" s="10" t="inlineStr">
        <is>
          <t>Entero</t>
        </is>
      </c>
      <c r="G95" s="10" t="inlineStr">
        <is>
          <t>bibliotecas</t>
        </is>
      </c>
      <c r="H95" s="10" t="inlineStr">
        <is>
          <t>32</t>
        </is>
      </c>
      <c r="I95" s="10" t="inlineStr">
        <is>
          <t>No</t>
        </is>
      </c>
      <c r="J95" s="10" t="inlineStr">
        <is>
          <t>≥ 0</t>
        </is>
      </c>
      <c r="K95" s="10" t="inlineStr">
        <is>
          <t>Pública</t>
        </is>
      </c>
      <c r="L95" s="10" t="inlineStr">
        <is>
          <t>Se cuentan los puntos de la capa</t>
        </is>
      </c>
      <c r="M95" s="10" t="inlineStr">
        <is>
          <t>¿Hay acceso a cultura y lectura?</t>
        </is>
      </c>
    </row>
    <row r="96">
      <c r="A96" s="10" t="inlineStr">
        <is>
          <t>F076</t>
        </is>
      </c>
      <c r="B96" s="10" t="inlineStr">
        <is>
          <t>lago/territorio.json</t>
        </is>
      </c>
      <c r="C96" s="10" t="inlineStr">
        <is>
          <t>cifras.sedes_educativas.valor</t>
        </is>
      </c>
      <c r="D96" s="10" t="inlineStr">
        <is>
          <t>Sedes educativas</t>
        </is>
      </c>
      <c r="E96" s="10" t="inlineStr">
        <is>
          <t>Sedes educativas activas</t>
        </is>
      </c>
      <c r="F96" s="10" t="inlineStr">
        <is>
          <t>Entero</t>
        </is>
      </c>
      <c r="G96" s="10" t="inlineStr">
        <is>
          <t>sedes</t>
        </is>
      </c>
      <c r="H96" s="10" t="inlineStr">
        <is>
          <t>779</t>
        </is>
      </c>
      <c r="I96" s="10" t="inlineStr">
        <is>
          <t>No</t>
        </is>
      </c>
      <c r="J96" s="10" t="inlineStr">
        <is>
          <t>≥ 0</t>
        </is>
      </c>
      <c r="K96" s="10" t="inlineStr">
        <is>
          <t>Pública</t>
        </is>
      </c>
      <c r="L96" s="10" t="inlineStr">
        <is>
          <t>Se cuentan las sedes activas del directorio 2024</t>
        </is>
      </c>
      <c r="M96" s="10" t="inlineStr">
        <is>
          <t>¿Hay oferta educativa en cada territorio?</t>
        </is>
      </c>
    </row>
    <row r="97">
      <c r="A97" s="10" t="inlineStr">
        <is>
          <t>F077</t>
        </is>
      </c>
      <c r="B97" s="10" t="inlineStr">
        <is>
          <t>lago/territorio.json</t>
        </is>
      </c>
      <c r="C97" s="10" t="inlineStr">
        <is>
          <t>cifras.equipamientos.valor</t>
        </is>
      </c>
      <c r="D97" s="10" t="inlineStr">
        <is>
          <t>Equipamientos del POT</t>
        </is>
      </c>
      <c r="E97" s="10" t="inlineStr">
        <is>
          <t>Equipamientos del POT (educación, salud, cultura, etc.)</t>
        </is>
      </c>
      <c r="F97" s="10" t="inlineStr">
        <is>
          <t>Entero</t>
        </is>
      </c>
      <c r="G97" s="10" t="inlineStr">
        <is>
          <t>equipamientos</t>
        </is>
      </c>
      <c r="H97" s="10" t="inlineStr">
        <is>
          <t>2139</t>
        </is>
      </c>
      <c r="I97" s="10" t="inlineStr">
        <is>
          <t>No</t>
        </is>
      </c>
      <c r="J97" s="10" t="inlineStr">
        <is>
          <t>≥ 0</t>
        </is>
      </c>
      <c r="K97" s="10" t="inlineStr">
        <is>
          <t>Pública</t>
        </is>
      </c>
      <c r="L97" s="10" t="inlineStr">
        <is>
          <t>Se cuentan los puntos y se agrupan por componente en listas.equipamientos_por_componente</t>
        </is>
      </c>
      <c r="M97" s="10" t="inlineStr">
        <is>
          <t>¿Qué servicios colectivos tiene la ciudad?</t>
        </is>
      </c>
    </row>
    <row r="98">
      <c r="A98" s="10" t="inlineStr">
        <is>
          <t>F078</t>
        </is>
      </c>
      <c r="B98" s="10" t="inlineStr">
        <is>
          <t>lago/territorio.json</t>
        </is>
      </c>
      <c r="C98" s="10" t="inlineStr">
        <is>
          <t>cifras.m2_verde_hab.valor</t>
        </is>
      </c>
      <c r="D98" s="10" t="inlineStr">
        <is>
          <t>Espacio verde urbano (EVU) del Sistema Árbol Urbano</t>
        </is>
      </c>
      <c r="E98" s="10" t="inlineStr">
        <is>
          <t>Metros cuadrados de espacio verde urbano por habitante</t>
        </is>
      </c>
      <c r="F98" s="10" t="inlineStr">
        <is>
          <t>Decimal</t>
        </is>
      </c>
      <c r="G98" s="10" t="inlineStr">
        <is>
          <t>m²/hab.</t>
        </is>
      </c>
      <c r="H98" s="10" t="inlineStr">
        <is>
          <t>14.8</t>
        </is>
      </c>
      <c r="I98" s="10" t="inlineStr">
        <is>
          <t>No</t>
        </is>
      </c>
      <c r="J98" s="10" t="inlineStr">
        <is>
          <t>≥ 0</t>
        </is>
      </c>
      <c r="K98" s="10" t="inlineStr">
        <is>
          <t>Pública</t>
        </is>
      </c>
      <c r="L98" s="10" t="inlineStr">
        <is>
          <t>área de espacio verde (m²) / población proyectada</t>
        </is>
      </c>
      <c r="M98" s="10" t="inlineStr">
        <is>
          <t>¿Qué tan verde es la ciudad frente al mínimo recomendado?</t>
        </is>
      </c>
    </row>
    <row r="99">
      <c r="A99" s="10" t="inlineStr">
        <is>
          <t>F079</t>
        </is>
      </c>
      <c r="B99" s="10" t="inlineStr">
        <is>
          <t>lago/territorio.json</t>
        </is>
      </c>
      <c r="C99" s="10" t="inlineStr">
        <is>
          <t>cifras.m2_espacio_publico_hab.valor</t>
        </is>
      </c>
      <c r="D99" s="10" t="inlineStr">
        <is>
          <t>Inventario de espacio público de esparcimiento y encuentro (espacio público efectivo)</t>
        </is>
      </c>
      <c r="E99" s="10" t="inlineStr">
        <is>
          <t>Metros cuadrados de espacio público efectivo por habitante</t>
        </is>
      </c>
      <c r="F99" s="10" t="inlineStr">
        <is>
          <t>Decimal</t>
        </is>
      </c>
      <c r="G99" s="10" t="inlineStr">
        <is>
          <t>m²/hab.</t>
        </is>
      </c>
      <c r="H99" s="10" t="inlineStr">
        <is>
          <t>5.1</t>
        </is>
      </c>
      <c r="I99" s="10" t="inlineStr">
        <is>
          <t>No</t>
        </is>
      </c>
      <c r="J99" s="10" t="inlineStr">
        <is>
          <t>≥ 0</t>
        </is>
      </c>
      <c r="K99" s="10" t="inlineStr">
        <is>
          <t>Pública</t>
        </is>
      </c>
      <c r="L99" s="10" t="inlineStr">
        <is>
          <t>área de espacio público (m²) / población proyectada</t>
        </is>
      </c>
      <c r="M99" s="10" t="inlineStr">
        <is>
          <t>¿Cuánto espacio público tiene cada habitante?</t>
        </is>
      </c>
    </row>
    <row r="100">
      <c r="A100" s="10" t="inlineStr">
        <is>
          <t>F080</t>
        </is>
      </c>
      <c r="B100" s="10" t="inlineStr">
        <is>
          <t>lago/ambiente.json</t>
        </is>
      </c>
      <c r="C100" s="10" t="inlineStr">
        <is>
          <t>cifras.estaciones_pm25.valor</t>
        </is>
      </c>
      <c r="D100" s="10" t="inlineStr">
        <is>
          <t>PM2.5 e índice ICA por estación (promedio de 24 h)</t>
        </is>
      </c>
      <c r="E100" s="10" t="inlineStr">
        <is>
          <t>Estaciones de calidad del aire con dato vigente</t>
        </is>
      </c>
      <c r="F100" s="10" t="inlineStr">
        <is>
          <t>Entero</t>
        </is>
      </c>
      <c r="G100" s="10" t="inlineStr">
        <is>
          <t>estaciones</t>
        </is>
      </c>
      <c r="H100" s="10" t="inlineStr">
        <is>
          <t>23</t>
        </is>
      </c>
      <c r="I100" s="10" t="inlineStr">
        <is>
          <t>No</t>
        </is>
      </c>
      <c r="J100" s="10" t="inlineStr">
        <is>
          <t>≥ 0</t>
        </is>
      </c>
      <c r="K100" s="10" t="inlineStr">
        <is>
          <t>Pública</t>
        </is>
      </c>
      <c r="L100" s="10" t="inlineStr">
        <is>
          <t>Se cuentan las estaciones de Medellín que reportan en el momento</t>
        </is>
      </c>
      <c r="M100" s="10" t="inlineStr">
        <is>
          <t>¿Qué tan bien se monitorea el aire?</t>
        </is>
      </c>
    </row>
    <row r="101">
      <c r="A101" s="10" t="inlineStr">
        <is>
          <t>F081</t>
        </is>
      </c>
      <c r="B101" s="10" t="inlineStr">
        <is>
          <t>lago/ambiente.json</t>
        </is>
      </c>
      <c r="C101" s="10" t="inlineStr">
        <is>
          <t>cifras.estaciones_pluvios.valor</t>
        </is>
      </c>
      <c r="D101" s="10" t="inlineStr">
        <is>
          <t>Pluviómetros con acumulado de lluvia</t>
        </is>
      </c>
      <c r="E101" s="10" t="inlineStr">
        <is>
          <t>Pluviómetros del SIATA</t>
        </is>
      </c>
      <c r="F101" s="10" t="inlineStr">
        <is>
          <t>Entero</t>
        </is>
      </c>
      <c r="G101" s="10" t="inlineStr">
        <is>
          <t>estaciones</t>
        </is>
      </c>
      <c r="H101" s="10" t="inlineStr">
        <is>
          <t>183</t>
        </is>
      </c>
      <c r="I101" s="10" t="inlineStr">
        <is>
          <t>No</t>
        </is>
      </c>
      <c r="J101" s="10" t="inlineStr">
        <is>
          <t>≥ 0</t>
        </is>
      </c>
      <c r="K101" s="10" t="inlineStr">
        <is>
          <t>Pública</t>
        </is>
      </c>
      <c r="L101" s="10" t="inlineStr">
        <is>
          <t>Se cuentan los puntos del servicio</t>
        </is>
      </c>
      <c r="M101" s="10" t="inlineStr">
        <is>
          <t>¿Qué tan vigilada está la lluvia?</t>
        </is>
      </c>
    </row>
    <row r="102">
      <c r="A102" s="10" t="inlineStr">
        <is>
          <t>F082</t>
        </is>
      </c>
      <c r="B102" s="10" t="inlineStr">
        <is>
          <t>lago/ambiente.json</t>
        </is>
      </c>
      <c r="C102" s="10" t="inlineStr">
        <is>
          <t>cifras.estaciones_niveles.valor</t>
        </is>
      </c>
      <c r="D102" s="10" t="inlineStr">
        <is>
          <t>Nivel de quebradas y del río Medellín</t>
        </is>
      </c>
      <c r="E102" s="10" t="inlineStr">
        <is>
          <t>Estaciones de nivel de quebradas y río</t>
        </is>
      </c>
      <c r="F102" s="10" t="inlineStr">
        <is>
          <t>Entero</t>
        </is>
      </c>
      <c r="G102" s="10" t="inlineStr">
        <is>
          <t>estaciones</t>
        </is>
      </c>
      <c r="H102" s="10" t="inlineStr">
        <is>
          <t>165</t>
        </is>
      </c>
      <c r="I102" s="10" t="inlineStr">
        <is>
          <t>No</t>
        </is>
      </c>
      <c r="J102" s="10" t="inlineStr">
        <is>
          <t>≥ 0</t>
        </is>
      </c>
      <c r="K102" s="10" t="inlineStr">
        <is>
          <t>Pública</t>
        </is>
      </c>
      <c r="L102" s="10" t="inlineStr">
        <is>
          <t>Se cuentan los puntos del servicio</t>
        </is>
      </c>
      <c r="M102" s="10" t="inlineStr">
        <is>
          <t>¿Qué tan vigilado está el riesgo de crecientes?</t>
        </is>
      </c>
    </row>
    <row r="103">
      <c r="A103" s="10" t="inlineStr">
        <is>
          <t>F083</t>
        </is>
      </c>
      <c r="B103" s="10" t="inlineStr">
        <is>
          <t>lago/ambiente.json</t>
        </is>
      </c>
      <c r="C103" s="10" t="inlineStr">
        <is>
          <t>cifras.estaciones_meteo.valor</t>
        </is>
      </c>
      <c r="D103" s="10" t="inlineStr">
        <is>
          <t>Temperatura, viento y humedad por estación</t>
        </is>
      </c>
      <c r="E103" s="10" t="inlineStr">
        <is>
          <t>Estaciones de temperatura, viento y humedad</t>
        </is>
      </c>
      <c r="F103" s="10" t="inlineStr">
        <is>
          <t>Entero</t>
        </is>
      </c>
      <c r="G103" s="10" t="inlineStr">
        <is>
          <t>estaciones</t>
        </is>
      </c>
      <c r="H103" s="10" t="inlineStr">
        <is>
          <t>45</t>
        </is>
      </c>
      <c r="I103" s="10" t="inlineStr">
        <is>
          <t>No</t>
        </is>
      </c>
      <c r="J103" s="10" t="inlineStr">
        <is>
          <t>≥ 0</t>
        </is>
      </c>
      <c r="K103" s="10" t="inlineStr">
        <is>
          <t>Pública</t>
        </is>
      </c>
      <c r="L103" s="10" t="inlineStr">
        <is>
          <t>Se cuentan los puntos del servicio</t>
        </is>
      </c>
      <c r="M103" s="10" t="inlineStr">
        <is>
          <t>¿Qué tan cubierto está el clima?</t>
        </is>
      </c>
    </row>
    <row r="104">
      <c r="A104" s="10" t="inlineStr">
        <is>
          <t>F084</t>
        </is>
      </c>
      <c r="B104" s="10" t="inlineStr">
        <is>
          <t>lago/ambiente.json</t>
        </is>
      </c>
      <c r="C104" s="10" t="inlineStr">
        <is>
          <t>cifras.estaciones_ruido.valor</t>
        </is>
      </c>
      <c r="D104" s="10" t="inlineStr">
        <is>
          <t>Red oficial de ruido (promedio de 7 días)</t>
        </is>
      </c>
      <c r="E104" s="10" t="inlineStr">
        <is>
          <t>Estaciones de la red oficial de ruido</t>
        </is>
      </c>
      <c r="F104" s="10" t="inlineStr">
        <is>
          <t>Entero</t>
        </is>
      </c>
      <c r="G104" s="10" t="inlineStr">
        <is>
          <t>estaciones</t>
        </is>
      </c>
      <c r="H104" s="10" t="inlineStr">
        <is>
          <t>8</t>
        </is>
      </c>
      <c r="I104" s="10" t="inlineStr">
        <is>
          <t>No</t>
        </is>
      </c>
      <c r="J104" s="10" t="inlineStr">
        <is>
          <t>≥ 0</t>
        </is>
      </c>
      <c r="K104" s="10" t="inlineStr">
        <is>
          <t>Pública</t>
        </is>
      </c>
      <c r="L104" s="10" t="inlineStr">
        <is>
          <t>Se cuentan los puntos del servicio</t>
        </is>
      </c>
      <c r="M104" s="10" t="inlineStr">
        <is>
          <t>¿Se mide el ruido de la ciudad?</t>
        </is>
      </c>
    </row>
    <row r="105">
      <c r="A105" s="10" t="inlineStr">
        <is>
          <t>F086</t>
        </is>
      </c>
      <c r="B105" s="10" t="inlineStr">
        <is>
          <t>lago/ambiente.json</t>
        </is>
      </c>
      <c r="C105" s="10" t="inlineStr">
        <is>
          <t>cifras.sismos_12m.valor</t>
        </is>
      </c>
      <c r="D105" s="10" t="inlineStr">
        <is>
          <t>Sismos de magnitud 4 o más a menos de 300 km de Medellín</t>
        </is>
      </c>
      <c r="E105" s="10" t="inlineStr">
        <is>
          <t>Sismos de magnitud 4 o más a menos de 300 km de Medellín en los últimos 12 meses</t>
        </is>
      </c>
      <c r="F105" s="10" t="inlineStr">
        <is>
          <t>Entero</t>
        </is>
      </c>
      <c r="G105" s="10" t="inlineStr">
        <is>
          <t>sismos</t>
        </is>
      </c>
      <c r="H105" s="10" t="inlineStr">
        <is>
          <t>101</t>
        </is>
      </c>
      <c r="I105" s="10" t="inlineStr">
        <is>
          <t>No</t>
        </is>
      </c>
      <c r="J105" s="10" t="inlineStr">
        <is>
          <t>≥ 0</t>
        </is>
      </c>
      <c r="K105" s="10" t="inlineStr">
        <is>
          <t>Pública</t>
        </is>
      </c>
      <c r="L105" s="10" t="inlineStr">
        <is>
          <t>Se cuentan los eventos de la ventana de 12 meses</t>
        </is>
      </c>
      <c r="M105" s="10" t="inlineStr">
        <is>
          <t>¿Qué tan activa está la región?</t>
        </is>
      </c>
    </row>
    <row r="106">
      <c r="A106" s="10" t="inlineStr">
        <is>
          <t>F086</t>
        </is>
      </c>
      <c r="B106" s="10" t="inlineStr">
        <is>
          <t>lago/ambiente.json</t>
        </is>
      </c>
      <c r="C106" s="10" t="inlineStr">
        <is>
          <t>cifras.sismo_magnitud_maxima.valor</t>
        </is>
      </c>
      <c r="D106" s="10" t="inlineStr">
        <is>
          <t>Sismos de magnitud 4 o más a menos de 300 km de Medellín</t>
        </is>
      </c>
      <c r="E106" s="10" t="inlineStr">
        <is>
          <t>Magnitud del sismo más fuerte desde el año 2000</t>
        </is>
      </c>
      <c r="F106" s="10" t="inlineStr">
        <is>
          <t>Decimal</t>
        </is>
      </c>
      <c r="G106" s="10" t="inlineStr">
        <is>
          <t>magnitud</t>
        </is>
      </c>
      <c r="H106" s="10" t="inlineStr">
        <is>
          <t>7.4</t>
        </is>
      </c>
      <c r="I106" s="10" t="inlineStr">
        <is>
          <t>No</t>
        </is>
      </c>
      <c r="J106" s="10" t="inlineStr">
        <is>
          <t>4–10</t>
        </is>
      </c>
      <c r="K106" s="10" t="inlineStr">
        <is>
          <t>Pública</t>
        </is>
      </c>
      <c r="L106" s="10" t="inlineStr">
        <is>
          <t>Se toma el máximo de la serie</t>
        </is>
      </c>
      <c r="M106" s="10" t="inlineStr">
        <is>
          <t>¿Qué tan fuertes han sido los sismos?</t>
        </is>
      </c>
    </row>
    <row r="107">
      <c r="A107" s="10" t="inlineStr">
        <is>
          <t>F087</t>
        </is>
      </c>
      <c r="B107" s="10" t="inlineStr">
        <is>
          <t>lago/ambiente.json</t>
        </is>
      </c>
      <c r="C107" s="10" t="inlineStr">
        <is>
          <t>listas.ruido_amva_dia[].ha</t>
        </is>
      </c>
      <c r="D107" s="10" t="inlineStr">
        <is>
          <t>Mapa de ruido del Valle de Aburrá (isófonas de ruido total, día y noche)</t>
        </is>
      </c>
      <c r="E107" s="10" t="inlineStr">
        <is>
          <t>Hectáreas de Medellín dentro de cada rango de decibeles en el día</t>
        </is>
      </c>
      <c r="F107" s="10" t="inlineStr">
        <is>
          <t>Decimal</t>
        </is>
      </c>
      <c r="G107" s="10" t="inlineStr">
        <is>
          <t>ha</t>
        </is>
      </c>
      <c r="H107" s="10" t="inlineStr">
        <is>
          <t>122.7</t>
        </is>
      </c>
      <c r="I107" s="10" t="inlineStr">
        <is>
          <t>No</t>
        </is>
      </c>
      <c r="J107" s="10" t="inlineStr">
        <is>
          <t>≥ 0</t>
        </is>
      </c>
      <c r="K107" s="10" t="inlineStr">
        <is>
          <t>Pública</t>
        </is>
      </c>
      <c r="L107" s="10" t="inlineStr">
        <is>
          <t>Se recortan las isófonas al límite de Medellín y se suma el área por rango</t>
        </is>
      </c>
      <c r="M107" s="10" t="inlineStr">
        <is>
          <t>¿Qué parte de la ciudad soporta ruido alto?</t>
        </is>
      </c>
    </row>
    <row r="108">
      <c r="A108" s="10" t="inlineStr">
        <is>
          <t>F090</t>
        </is>
      </c>
      <c r="B108" s="10" t="inlineStr">
        <is>
          <t>lago/escucha.json</t>
        </is>
      </c>
      <c r="C108" s="10" t="inlineStr">
        <is>
          <t>cifras.wiki_medellin_es_12m.valor</t>
        </is>
      </c>
      <c r="D108" s="10" t="inlineStr">
        <is>
          <t>Vistas mensuales de artículos (Pageviews API, agent=user)</t>
        </is>
      </c>
      <c r="E108" s="10" t="inlineStr">
        <is>
          <t>Vistas del artículo «Medellín» en Wikipedia en español en los últimos 12 meses</t>
        </is>
      </c>
      <c r="F108" s="10" t="inlineStr">
        <is>
          <t>Entero</t>
        </is>
      </c>
      <c r="G108" s="10" t="inlineStr">
        <is>
          <t>vistas</t>
        </is>
      </c>
      <c r="H108" s="10" t="inlineStr">
        <is>
          <t>230067</t>
        </is>
      </c>
      <c r="I108" s="10" t="inlineStr">
        <is>
          <t>No</t>
        </is>
      </c>
      <c r="J108" s="10" t="inlineStr">
        <is>
          <t>≥ 0</t>
        </is>
      </c>
      <c r="K108" s="10" t="inlineStr">
        <is>
          <t>Pública</t>
        </is>
      </c>
      <c r="L108" s="10" t="inlineStr">
        <is>
          <t>Se suman los últimos 12 meses completos</t>
        </is>
      </c>
      <c r="M108" s="10" t="inlineStr">
        <is>
          <t>¿Cuánto interés despierta la ciudad?</t>
        </is>
      </c>
    </row>
    <row r="109">
      <c r="A109" s="10" t="inlineStr">
        <is>
          <t>F090</t>
        </is>
      </c>
      <c r="B109" s="10" t="inlineStr">
        <is>
          <t>lago/escucha.json</t>
        </is>
      </c>
      <c r="C109" s="10" t="inlineStr">
        <is>
          <t>cifras.wiki_medellin_es_variacion_12m_norm.valor</t>
        </is>
      </c>
      <c r="D109" s="10" t="inlineStr">
        <is>
          <t>Vistas mensuales de artículos (Pageviews API, agent=user)</t>
        </is>
      </c>
      <c r="E109" s="10" t="inlineStr">
        <is>
          <t>Cambio de las vistas descontando el cambio general de Wikipedia</t>
        </is>
      </c>
      <c r="F109" s="10" t="inlineStr">
        <is>
          <t>Decimal</t>
        </is>
      </c>
      <c r="G109" s="10" t="inlineStr">
        <is>
          <t>%</t>
        </is>
      </c>
      <c r="H109" s="10" t="inlineStr">
        <is>
          <t>-10.2</t>
        </is>
      </c>
      <c r="I109" s="10" t="inlineStr">
        <is>
          <t>No</t>
        </is>
      </c>
      <c r="J109" s="10" t="inlineStr">
        <is>
          <t>Número</t>
        </is>
      </c>
      <c r="K109" s="10" t="inlineStr">
        <is>
          <t>Pública</t>
        </is>
      </c>
      <c r="L109" s="10" t="inlineStr">
        <is>
          <t>variación de Medellín frente a la variación del sitio en el mismo periodo</t>
        </is>
      </c>
      <c r="M109" s="10" t="inlineStr">
        <is>
          <t>¿El interés cae por la ciudad o por Wikipedia en general?</t>
        </is>
      </c>
    </row>
    <row r="110">
      <c r="A110" s="10" t="inlineStr">
        <is>
          <t>F090</t>
        </is>
      </c>
      <c r="B110" s="10" t="inlineStr">
        <is>
          <t>lago/escucha.json</t>
        </is>
      </c>
      <c r="C110" s="10" t="inlineStr">
        <is>
          <t>series.wiki_medellin_es_mensual.puntos</t>
        </is>
      </c>
      <c r="D110" s="10" t="inlineStr">
        <is>
          <t>Vistas mensuales de artículos (Pageviews API, agent=user)</t>
        </is>
      </c>
      <c r="E110" s="10" t="inlineStr">
        <is>
          <t>Vistas mensuales del artículo desde 2015</t>
        </is>
      </c>
      <c r="F110" s="10" t="inlineStr">
        <is>
          <t>Entero</t>
        </is>
      </c>
      <c r="G110" s="10" t="inlineStr">
        <is>
          <t>vistas</t>
        </is>
      </c>
      <c r="H110" s="10" t="inlineStr">
        <is>
          <t>["jul 2015", 59456]</t>
        </is>
      </c>
      <c r="I110" s="10" t="inlineStr">
        <is>
          <t>No</t>
        </is>
      </c>
      <c r="J110" s="10" t="inlineStr">
        <is>
          <t>Pares [mes, vistas]</t>
        </is>
      </c>
      <c r="K110" s="10" t="inlineStr">
        <is>
          <t>Pública</t>
        </is>
      </c>
      <c r="L110" s="10" t="inlineStr">
        <is>
          <t>La fecha AAAAMMDD se pasa a nombre de mes</t>
        </is>
      </c>
      <c r="M110" s="10" t="inlineStr">
        <is>
          <t>¿Cómo cambia el interés en el tiempo?</t>
        </is>
      </c>
    </row>
    <row r="111">
      <c r="A111" s="10" t="inlineStr">
        <is>
          <t>F090</t>
        </is>
      </c>
      <c r="B111" s="10" t="inlineStr">
        <is>
          <t>lago/escucha.json</t>
        </is>
      </c>
      <c r="C111" s="10" t="inlineStr">
        <is>
          <t>listas.wiki_territorios[].vistas_12m</t>
        </is>
      </c>
      <c r="D111" s="10" t="inlineStr">
        <is>
          <t>Vistas mensuales de artículos (Pageviews API, agent=user)</t>
        </is>
      </c>
      <c r="E111" s="10" t="inlineStr">
        <is>
          <t>Vistas de los últimos 12 meses del artículo de una comuna o corregimiento</t>
        </is>
      </c>
      <c r="F111" s="10" t="inlineStr">
        <is>
          <t>Entero</t>
        </is>
      </c>
      <c r="G111" s="10" t="inlineStr">
        <is>
          <t>vistas</t>
        </is>
      </c>
      <c r="H111" s="10" t="inlineStr">
        <is>
          <t>16690</t>
        </is>
      </c>
      <c r="I111" s="10" t="inlineStr">
        <is>
          <t>No</t>
        </is>
      </c>
      <c r="J111" s="10" t="inlineStr">
        <is>
          <t>≥ 0</t>
        </is>
      </c>
      <c r="K111" s="10" t="inlineStr">
        <is>
          <t>Pública</t>
        </is>
      </c>
      <c r="L111" s="10" t="inlineStr">
        <is>
          <t>Se suman las vistas del artículo y sus redirecciones</t>
        </is>
      </c>
      <c r="M111" s="10" t="inlineStr">
        <is>
          <t>¿Qué territorios llaman más la atención?</t>
        </is>
      </c>
    </row>
    <row r="112">
      <c r="A112" s="10" t="inlineStr">
        <is>
          <t>F091</t>
        </is>
      </c>
      <c r="B112" s="10" t="inlineStr">
        <is>
          <t>lago/escucha.json</t>
        </is>
      </c>
      <c r="C112" s="10" t="inlineStr">
        <is>
          <t>cifras.prensa_menciones_90d.valor</t>
        </is>
      </c>
      <c r="D112" s="10" t="inlineStr">
        <is>
          <t>Artículos que nombran a Medellín por día (DOC API 2.0, timelinevolraw)</t>
        </is>
      </c>
      <c r="E112" s="10" t="inlineStr">
        <is>
          <t>Artículos de prensa que nombran a Medellín en los últimos 90 días</t>
        </is>
      </c>
      <c r="F112" s="10" t="inlineStr">
        <is>
          <t>Entero</t>
        </is>
      </c>
      <c r="G112" s="10" t="inlineStr">
        <is>
          <t>artículos</t>
        </is>
      </c>
      <c r="H112" s="10" t="inlineStr">
        <is>
          <t>9674</t>
        </is>
      </c>
      <c r="I112" s="10" t="inlineStr">
        <is>
          <t>No</t>
        </is>
      </c>
      <c r="J112" s="10" t="inlineStr">
        <is>
          <t>≥ 0</t>
        </is>
      </c>
      <c r="K112" s="10" t="inlineStr">
        <is>
          <t>Pública</t>
        </is>
      </c>
      <c r="L112" s="10" t="inlineStr">
        <is>
          <t>Se suman los conteos diarios de la consulta</t>
        </is>
      </c>
      <c r="M112" s="10" t="inlineStr">
        <is>
          <t>¿Cuánto se habla de la ciudad en la prensa?</t>
        </is>
      </c>
    </row>
    <row r="113">
      <c r="A113" s="10" t="inlineStr">
        <is>
          <t>F091</t>
        </is>
      </c>
      <c r="B113" s="10" t="inlineStr">
        <is>
          <t>lago/escucha.json</t>
        </is>
      </c>
      <c r="C113" s="10" t="inlineStr">
        <is>
          <t>series.prensa_menciones_diarias.puntos</t>
        </is>
      </c>
      <c r="D113" s="10" t="inlineStr">
        <is>
          <t>Artículos que nombran a Medellín por día (DOC API 2.0, timelinevolraw)</t>
        </is>
      </c>
      <c r="E113" s="10" t="inlineStr">
        <is>
          <t>Artículos que nombran a Medellín cada día</t>
        </is>
      </c>
      <c r="F113" s="10" t="inlineStr">
        <is>
          <t>Entero</t>
        </is>
      </c>
      <c r="G113" s="10" t="inlineStr">
        <is>
          <t>artículos</t>
        </is>
      </c>
      <c r="H113" s="10" t="inlineStr">
        <is>
          <t>["5 jul 2026", 47]</t>
        </is>
      </c>
      <c r="I113" s="10" t="inlineStr">
        <is>
          <t>No</t>
        </is>
      </c>
      <c r="J113" s="10" t="inlineStr">
        <is>
          <t>Pares [fecha, artículos]</t>
        </is>
      </c>
      <c r="K113" s="10" t="inlineStr">
        <is>
          <t>Pública</t>
        </is>
      </c>
      <c r="L113" s="10" t="inlineStr">
        <is>
          <t>Se toma un valor por día</t>
        </is>
      </c>
      <c r="M113" s="10" t="inlineStr">
        <is>
          <t>¿Hay picos de atención y cuándo?</t>
        </is>
      </c>
    </row>
    <row r="114">
      <c r="A114" s="10" t="inlineStr">
        <is>
          <t>F092</t>
        </is>
      </c>
      <c r="B114" s="10" t="inlineStr">
        <is>
          <t>lago/escucha.json</t>
        </is>
      </c>
      <c r="C114" s="10" t="inlineStr">
        <is>
          <t>listas.prensa_titulares[].titulo</t>
        </is>
      </c>
      <c r="D114" s="10" t="inlineStr">
        <is>
          <t>Artículos más relevantes que nombran a Medellín (DOC API 2.0, artlist)</t>
        </is>
      </c>
      <c r="E114" s="10" t="inlineStr">
        <is>
          <t>Titular de un artículo que nombra a Medellín; puede mencionar personas</t>
        </is>
      </c>
      <c r="F114" s="10" t="inlineStr">
        <is>
          <t>Texto</t>
        </is>
      </c>
      <c r="G114" s="10" t="inlineStr">
        <is>
          <t>n/a</t>
        </is>
      </c>
      <c r="H114" s="10" t="inlineStr">
        <is>
          <t>Fuerte aguacero causa caos en Medellín: hay árboles caídos y cortes de energía</t>
        </is>
      </c>
      <c r="I114" s="10" t="inlineStr">
        <is>
          <t>No</t>
        </is>
      </c>
      <c r="J114" s="10" t="inlineStr">
        <is>
          <t>Texto libre</t>
        </is>
      </c>
      <c r="K114" s="10" t="inlineStr">
        <is>
          <t>Pública</t>
        </is>
      </c>
      <c r="L114" s="10" t="inlineStr">
        <is>
          <t>Se conserva solo si el titular nombra a Medellín; no se revisa uno a uno</t>
        </is>
      </c>
      <c r="M114" s="10" t="inlineStr">
        <is>
          <t>¿De qué se habla?</t>
        </is>
      </c>
    </row>
    <row r="115">
      <c r="A115" s="10" t="inlineStr">
        <is>
          <t>F092</t>
        </is>
      </c>
      <c r="B115" s="10" t="inlineStr">
        <is>
          <t>lago/escucha.json</t>
        </is>
      </c>
      <c r="C115" s="10" t="inlineStr">
        <is>
          <t>listas.prensa_titulares[].medio</t>
        </is>
      </c>
      <c r="D115" s="10" t="inlineStr">
        <is>
          <t>Artículos más relevantes que nombran a Medellín (DOC API 2.0, artlist)</t>
        </is>
      </c>
      <c r="E115" s="10" t="inlineStr">
        <is>
          <t>Sitio web que publicó el artículo</t>
        </is>
      </c>
      <c r="F115" s="10" t="inlineStr">
        <is>
          <t>Texto</t>
        </is>
      </c>
      <c r="G115" s="10" t="inlineStr">
        <is>
          <t>n/a</t>
        </is>
      </c>
      <c r="H115" s="10" t="inlineStr">
        <is>
          <t>elcolombiano.com</t>
        </is>
      </c>
      <c r="I115" s="10" t="inlineStr">
        <is>
          <t>No</t>
        </is>
      </c>
      <c r="J115" s="10" t="inlineStr">
        <is>
          <t>Dominio</t>
        </is>
      </c>
      <c r="K115" s="10" t="inlineStr">
        <is>
          <t>Pública</t>
        </is>
      </c>
      <c r="L115" s="10" t="inlineStr">
        <is>
          <t>Se copia sin cambios</t>
        </is>
      </c>
      <c r="M115" s="10" t="inlineStr">
        <is>
          <t>¿Quién habla de la ciudad?</t>
        </is>
      </c>
    </row>
    <row r="116">
      <c r="A116" s="10" t="inlineStr">
        <is>
          <t>F092</t>
        </is>
      </c>
      <c r="B116" s="10" t="inlineStr">
        <is>
          <t>lago/escucha.json</t>
        </is>
      </c>
      <c r="C116" s="10" t="inlineStr">
        <is>
          <t>listas.prensa_titulares[].temas</t>
        </is>
      </c>
      <c r="D116" s="10" t="inlineStr">
        <is>
          <t>Artículos más relevantes que nombran a Medellín (DOC API 2.0, artlist)</t>
        </is>
      </c>
      <c r="E116" s="10" t="inlineStr">
        <is>
          <t>Temas del lago a los que pertenece el titular</t>
        </is>
      </c>
      <c r="F116" s="10" t="inlineStr">
        <is>
          <t>Texto</t>
        </is>
      </c>
      <c r="G116" s="10" t="inlineStr">
        <is>
          <t>n/a</t>
        </is>
      </c>
      <c r="H116" s="10" t="inlineStr">
        <is>
          <t>["servicios", "ambiente"]</t>
        </is>
      </c>
      <c r="I116" s="10" t="inlineStr">
        <is>
          <t>Sí</t>
        </is>
      </c>
      <c r="J116" s="10" t="inlineStr">
        <is>
          <t>Lista de temas; vacía si no coincide con ninguno</t>
        </is>
      </c>
      <c r="K116" s="10" t="inlineStr">
        <is>
          <t>Pública</t>
        </is>
      </c>
      <c r="L116" s="10" t="inlineStr">
        <is>
          <t>Se asignan por palabras clave definidas en listas.prensa_temas</t>
        </is>
      </c>
      <c r="M116" s="10" t="inlineStr">
        <is>
          <t>¿Qué temas dominan la conversación?</t>
        </is>
      </c>
    </row>
    <row r="117">
      <c r="A117" s="10" t="inlineStr">
        <is>
          <t>F020</t>
        </is>
      </c>
      <c r="B117" s="10" t="inlineStr">
        <is>
          <t>lago/seguridad.json</t>
        </is>
      </c>
      <c r="C117" s="10" t="inlineStr">
        <is>
          <t>listas.territorios[].valores.sisc_homicidio_tasa</t>
        </is>
      </c>
      <c r="D117" s="10" t="inlineStr">
        <is>
          <t>Homicidio (SISC)</t>
        </is>
      </c>
      <c r="E117" s="10" t="inlineStr">
        <is>
          <t>Homicidios de un año completo por cada 10.000 habitantes de ese mismo año</t>
        </is>
      </c>
      <c r="F117" s="10" t="inlineStr">
        <is>
          <t>Decimal</t>
        </is>
      </c>
      <c r="G117" s="10" t="inlineStr">
        <is>
          <t>por 10.000 hab.</t>
        </is>
      </c>
      <c r="H117" s="10" t="inlineStr">
        <is>
          <t>25,10</t>
        </is>
      </c>
      <c r="I117" s="10" t="inlineStr">
        <is>
          <t>Sí</t>
        </is>
      </c>
      <c r="J117" s="10" t="inlineStr">
        <is>
          <t>≥ 0; nulo si falta la población</t>
        </is>
      </c>
      <c r="K117" s="10" t="inlineStr">
        <is>
          <t>Pública</t>
        </is>
      </c>
      <c r="L117" s="10" t="inlineStr">
        <is>
          <t>Casos del último año completo ÷ población del año (total DANE repartido según el DAP) × 10.000. Entrega 2: antes sumaba 3 años.</t>
        </is>
      </c>
      <c r="M117" s="10" t="inlineStr">
        <is>
          <t>¿Cuáles son las zonas con más homicidios?</t>
        </is>
      </c>
    </row>
    <row r="118">
      <c r="A118" s="10" t="inlineStr">
        <is>
          <t>F006</t>
        </is>
      </c>
      <c r="B118" s="10" t="inlineStr">
        <is>
          <t>lago/demografia.json</t>
        </is>
      </c>
      <c r="C118" s="10" t="inlineStr">
        <is>
          <t>listas.territorios[].valores.natalidad_tasa</t>
        </is>
      </c>
      <c r="D118" s="10" t="inlineStr">
        <is>
          <t>Natalidad</t>
        </is>
      </c>
      <c r="E118" s="10" t="inlineStr">
        <is>
          <t>Nacidos vivos por cada 100.000 habitantes de la comuna, calculado por la fuente</t>
        </is>
      </c>
      <c r="F118" s="10" t="inlineStr">
        <is>
          <t>Decimal</t>
        </is>
      </c>
      <c r="G118" s="10" t="inlineStr">
        <is>
          <t>por 100.000 hab.</t>
        </is>
      </c>
      <c r="H118" s="10" t="inlineStr">
        <is>
          <t>1086,8</t>
        </is>
      </c>
      <c r="I118" s="10" t="inlineStr">
        <is>
          <t>Sí</t>
        </is>
      </c>
      <c r="J118" s="10" t="inlineStr">
        <is>
          <t>≥ 0</t>
        </is>
      </c>
      <c r="K118" s="10" t="inlineStr">
        <is>
          <t>Pública</t>
        </is>
      </c>
      <c r="L118" s="10" t="inlineStr">
        <is>
          <t>Se toma tal cual; la Secretaría de Salud la calcula con las proyecciones del DAP.</t>
        </is>
      </c>
      <c r="M118" s="10" t="inlineStr">
        <is>
          <t>¿Cuál es la comuna con mayor natalidad?</t>
        </is>
      </c>
    </row>
    <row r="119">
      <c r="A119" s="10" t="inlineStr">
        <is>
          <t>F078</t>
        </is>
      </c>
      <c r="B119" s="10" t="inlineStr">
        <is>
          <t>lago/territorio.json</t>
        </is>
      </c>
      <c r="C119" s="10" t="inlineStr">
        <is>
          <t>listas.territorios[].valores.m2_verde_hab</t>
        </is>
      </c>
      <c r="D119" s="10" t="inlineStr">
        <is>
          <t>area_ha</t>
        </is>
      </c>
      <c r="E119" s="10" t="inlineStr">
        <is>
          <t>Metros cuadrados de espacio verde urbano por habitante</t>
        </is>
      </c>
      <c r="F119" s="10" t="inlineStr">
        <is>
          <t>Decimal</t>
        </is>
      </c>
      <c r="G119" s="10" t="inlineStr">
        <is>
          <t>m²/hab.</t>
        </is>
      </c>
      <c r="H119" s="10" t="inlineStr">
        <is>
          <t>57,8</t>
        </is>
      </c>
      <c r="I119" s="10" t="inlineStr">
        <is>
          <t>Sí</t>
        </is>
      </c>
      <c r="J119" s="10" t="inlineStr">
        <is>
          <t>≥ 0</t>
        </is>
      </c>
      <c r="K119" s="10" t="inlineStr">
        <is>
          <t>Pública</t>
        </is>
      </c>
      <c r="L119" s="10" t="inlineStr">
        <is>
          <t>Área del inventario 2019 ÷ población de 2019. Entrega 2: antes se dividía entre la población de 2026.</t>
        </is>
      </c>
      <c r="M119" s="10" t="inlineStr">
        <is>
          <t>¿Cuánto espacio verde urbano hay por habitante en cada comuna?</t>
        </is>
      </c>
    </row>
    <row r="120">
      <c r="A120" s="10" t="inlineStr">
        <is>
          <t>F001</t>
        </is>
      </c>
      <c r="B120" s="10" t="inlineStr">
        <is>
          <t>lago/demografia.json</t>
        </is>
      </c>
      <c r="C120" s="10" t="inlineStr">
        <is>
          <t>listas.poblacion_anual_por_territorio[].valores</t>
        </is>
      </c>
      <c r="D120" s="10" t="inlineStr">
        <is>
          <t>total_2018 … total_2030 (DAP)</t>
        </is>
      </c>
      <c r="E120" s="10" t="inlineStr">
        <is>
          <t>Población de cada comuna año por año, para dividir cada cifra entre la población de su mismo año</t>
        </is>
      </c>
      <c r="F120" s="10" t="inlineStr">
        <is>
          <t>Entero</t>
        </is>
      </c>
      <c r="G120" s="10" t="inlineStr">
        <is>
          <t>habitantes</t>
        </is>
      </c>
      <c r="H120" s="10" t="inlineStr">
        <is>
          <t>141840</t>
        </is>
      </c>
      <c r="I120" s="10" t="inlineStr">
        <is>
          <t>No</t>
        </is>
      </c>
      <c r="J120" s="10" t="inlineStr">
        <is>
          <t>&gt; 0</t>
        </is>
      </c>
      <c r="K120" s="10" t="inlineStr">
        <is>
          <t>Pública</t>
        </is>
      </c>
      <c r="L120" s="10" t="inlineStr">
        <is>
          <t>Total DANE del año × proporción del territorio en la proyección del DAP de ese año (PROXY).</t>
        </is>
      </c>
      <c r="M120" s="10" t="inlineStr">
        <is>
          <t>¿Cuántos habitantes tenía cada comuna el año de la cifra?</t>
        </is>
      </c>
    </row>
    <row r="121">
      <c r="A121" s="10" t="inlineStr">
        <is>
          <t>F001</t>
        </is>
      </c>
      <c r="B121" s="10" t="inlineStr">
        <is>
          <t>lago/catalogo.json</t>
        </is>
      </c>
      <c r="C121" s="10" t="inlineStr">
        <is>
          <t>datasets[].codigo · licencia · personas · proteccion</t>
        </is>
      </c>
      <c r="D121" s="10" t="inlineStr">
        <is>
          <t>n/a</t>
        </is>
      </c>
      <c r="E121" s="10" t="inlineStr">
        <is>
          <t>ID fijo de la fuente, licencia copiada de la fuente, qué trae sobre personas y cómo se protege</t>
        </is>
      </c>
      <c r="F121" s="10" t="inlineStr">
        <is>
          <t>Texto</t>
        </is>
      </c>
      <c r="G121" s="10" t="inlineStr">
        <is>
          <t>n/a</t>
        </is>
      </c>
      <c r="H121" s="10" t="inlineStr">
        <is>
          <t>F020 · Atribución 4.0 Internacional (CC BY 4.0)</t>
        </is>
      </c>
      <c r="I121" s="10" t="inlineStr">
        <is>
          <t>No</t>
        </is>
      </c>
      <c r="J121" s="10" t="inlineStr">
        <is>
          <t>ID F000; protección: Abierto, solo agregados, No se publica</t>
        </is>
      </c>
      <c r="K121" s="10" t="inlineStr">
        <is>
          <t>Pública</t>
        </is>
      </c>
      <c r="L121" s="10" t="inlineStr">
        <is>
          <t>ingesta/licencias.py lee la licencia en la fuente; ingesta/registro_fuentes.json la guarda.</t>
        </is>
      </c>
      <c r="M121" s="10" t="inlineStr">
        <is>
          <t>¿De dónde sale cada número y se puede usar?</t>
        </is>
      </c>
    </row>
    <row r="122">
      <c r="A122" s="10" t="inlineStr">
        <is>
          <t>F008</t>
        </is>
      </c>
      <c r="B122" s="10" t="inlineStr">
        <is>
          <t>lago/economia.json</t>
        </is>
      </c>
      <c r="C122" s="10" t="inlineStr">
        <is>
          <t>cifras.&lt;clave&gt;.proxy</t>
        </is>
      </c>
      <c r="D122" s="10" t="inlineStr">
        <is>
          <t>n/a</t>
        </is>
      </c>
      <c r="E122" s="10" t="inlineStr">
        <is>
          <t>Si el dato aproxima otra cosa que no se mide directo, de qué es aproximación</t>
        </is>
      </c>
      <c r="F122" s="10" t="inlineStr">
        <is>
          <t>Texto</t>
        </is>
      </c>
      <c r="G122" s="10" t="inlineStr">
        <is>
          <t>n/a</t>
        </is>
      </c>
      <c r="H122" s="10" t="inlineStr">
        <is>
          <t>el precio de cierre, que no es dato abierto</t>
        </is>
      </c>
      <c r="I122" s="10" t="inlineStr">
        <is>
          <t>Sí</t>
        </is>
      </c>
      <c r="J122" s="10" t="inlineStr">
        <is>
          <t>texto libre o vacío</t>
        </is>
      </c>
      <c r="K122" s="10" t="inlineStr">
        <is>
          <t>Pública</t>
        </is>
      </c>
      <c r="L122" s="10" t="inlineStr">
        <is>
          <t>Se asigna en el script de ingesta.</t>
        </is>
      </c>
      <c r="M122" s="10" t="inlineStr">
        <is>
          <t>¿Qué cifras son aproximaciones (PROXY)?</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applyStyles="0" summaryBelow="1" summaryRight="1" showOutlineSymbols="1"/>
    <pageSetUpPr autoPageBreaks="1" fitToPage="0"/>
  </sheetPr>
  <dimension ref="A1:H56"/>
  <sheetViews>
    <sheetView zoomScale="100" workbookViewId="0">
      <pane xSplit="1" ySplit="3" topLeftCell="B4" activePane="bottomRight" state="frozen"/>
      <selection activeCell="A1" activeCellId="0" sqref="A1"/>
    </sheetView>
  </sheetViews>
  <sheetFormatPr baseColWidth="10" defaultColWidth="8.83203125" defaultRowHeight="14.25"/>
  <cols>
    <col width="5" customWidth="1" min="1" max="1"/>
    <col width="16" customWidth="1" min="2" max="2"/>
    <col width="36" customWidth="1" min="3" max="4"/>
    <col width="30" customWidth="1" min="5" max="5"/>
    <col width="16" customWidth="1" min="6" max="6"/>
    <col width="12" customWidth="1" min="7" max="7"/>
    <col width="30" customWidth="1" min="8" max="8"/>
  </cols>
  <sheetData>
    <row r="1" ht="18" customHeight="1">
      <c r="A1" s="6" t="inlineStr">
        <is>
          <t>3. Bitácora de la búsqueda con IA</t>
        </is>
      </c>
    </row>
    <row r="2">
      <c r="A2" s="7" t="inlineStr">
        <is>
          <t>Qué le encargaron a la IA y qué pasó con lo que respondió. Incluyan los errores: valen tanto como los aciertos.</t>
        </is>
      </c>
    </row>
    <row r="3" ht="42" customHeight="1">
      <c r="A3" s="8" t="inlineStr">
        <is>
          <t>#</t>
        </is>
      </c>
      <c r="B3" s="8" t="inlineStr">
        <is>
          <t>Herramienta de IA</t>
        </is>
      </c>
      <c r="C3" s="8" t="inlineStr">
        <is>
          <t>Qué le encargaron</t>
        </is>
      </c>
      <c r="D3" s="8" t="inlineStr">
        <is>
          <t>Qué respondió (resumen)</t>
        </is>
      </c>
      <c r="E3" s="8" t="inlineStr">
        <is>
          <t>Cómo lo comprobaron</t>
        </is>
      </c>
      <c r="F3" s="8" t="inlineStr">
        <is>
          <t>Resultado</t>
        </is>
      </c>
      <c r="G3" s="8" t="inlineStr">
        <is>
          <t>ID fuente que salió de ahí</t>
        </is>
      </c>
      <c r="H3" s="8" t="inlineStr">
        <is>
          <t>Qué aprendieron</t>
        </is>
      </c>
    </row>
    <row r="4" ht="52" customHeight="1">
      <c r="A4" s="9" t="inlineStr">
        <is>
          <t>1</t>
        </is>
      </c>
      <c r="B4" s="9" t="inlineStr">
        <is>
          <t>Claude</t>
        </is>
      </c>
      <c r="C4" s="9" t="inlineStr">
        <is>
          <t>Encontrar una fuente abierta y sin llave que mida cuánto interés despierta Medellín fuera de la ciudad</t>
        </is>
      </c>
      <c r="D4" s="9" t="inlineStr">
        <is>
          <t>Propuso Google Trends y la API de vistas de Wikipedia</t>
        </is>
      </c>
      <c r="E4" s="9" t="inlineStr">
        <is>
          <t>Probamos las dos: Google Trends no tiene API abierta ni licencia de reutilización; la de Wikipedia respondió con curl y declara CC0</t>
        </is>
      </c>
      <c r="F4" s="9" t="inlineStr">
        <is>
          <t>Parcial</t>
        </is>
      </c>
      <c r="G4" s="9" t="inlineStr">
        <is>
          <t>F01</t>
        </is>
      </c>
      <c r="H4" s="9" t="inlineStr">
        <is>
          <t>Que la IA nombre una fuente no quiere decir que se pueda usar: la licencia y el acceso se comprueban uno mismo.</t>
        </is>
      </c>
    </row>
    <row r="5" ht="63.75" customHeight="1">
      <c r="A5" s="10" t="n">
        <v>1</v>
      </c>
      <c r="B5" s="10" t="inlineStr">
        <is>
          <t>Claude</t>
        </is>
      </c>
      <c r="C5" s="10" t="inlineStr">
        <is>
          <t>Basado en estas dimensiones de una (Se adjunto una foto del Sidebar de cerebro-lima) recolecta fuentes relevantes para la construccion de un modelo digital con un mapa 3D de la ciudad de medellin.</t>
        </is>
      </c>
      <c r="D5" s="10" t="inlineStr">
        <is>
          <t>Algo muy interesante de los modelos modernos es que no responden inmediatamente si no que tiene un proceso, en nuestro caso, lo primero que comenzo a hacer es un plan</t>
        </is>
      </c>
      <c r="E5" s="10" t="inlineStr">
        <is>
          <t>La evidencia fue un solido archivo de Issues que contenian los pasos para crear un robusto modelo digital verificable.</t>
        </is>
      </c>
      <c r="F5" s="10" t="inlineStr">
        <is>
          <t>Parcial</t>
        </is>
      </c>
      <c r="G5" s="10" t="inlineStr">
        <is>
          <t>Todavia ninguna</t>
        </is>
      </c>
      <c r="H5" s="10" t="inlineStr">
        <is>
          <t>Una buena forma de no saturar el la ventana de contexto de una IA es hacer un plane y pedir que se realicen paso por paso</t>
        </is>
      </c>
    </row>
    <row r="6" ht="51" customHeight="1">
      <c r="A6" s="10" t="n">
        <v>2</v>
      </c>
      <c r="B6" s="10" t="inlineStr">
        <is>
          <t>Claude</t>
        </is>
      </c>
      <c r="C6" s="10" t="inlineStr">
        <is>
          <t>Construir la base que alimenta la app con el mismo modelo que Cerebro Lima</t>
        </is>
      </c>
      <c r="D6" s="10" t="inlineStr">
        <is>
          <t xml:space="preserve">Se definio un contrato con cada tema, se crearon scripts que realizan la ingesta y generar un catalogo con los datasets </t>
        </is>
      </c>
      <c r="E6" s="10" t="inlineStr">
        <is>
          <t>Python ingesta/verificar.py pasa, y el Panorama actual se muestra leyendo el lago, se revisa que la fuentes sigan disponibles</t>
        </is>
      </c>
      <c r="F6" s="10" t="inlineStr">
        <is>
          <t>Parcial</t>
        </is>
      </c>
      <c r="G6" s="10" t="inlineStr">
        <is>
          <t>F001 a la F092</t>
        </is>
      </c>
      <c r="H6" s="10" t="inlineStr">
        <is>
          <t>Que es importante definir un contraro entre las fuentes de los datos y el sitio de alamcenamiento</t>
        </is>
      </c>
    </row>
    <row r="7" ht="76.5" customHeight="1">
      <c r="A7" s="10" t="n">
        <v>3</v>
      </c>
      <c r="B7" s="10" t="inlineStr">
        <is>
          <t>Claude</t>
        </is>
      </c>
      <c r="C7" s="10" t="inlineStr">
        <is>
          <t>Dame un gemelo 3D con alturas y reales</t>
        </is>
      </c>
      <c r="D7" s="10" t="inlineStr">
        <is>
          <t>Una arquitectura que usa PMtiles para mostrar los edificios de forma eficiente, siriviendo el archivo de mapa que se demora 6 minutos en generar pero despues simplemente se sirve como un recurso estatico</t>
        </is>
      </c>
      <c r="E7" s="10" t="inlineStr">
        <is>
          <t>Revisar que los edificios que conoce el quipo de desarrolladores tenga medianamente sentido</t>
        </is>
      </c>
      <c r="F7" s="10" t="inlineStr">
        <is>
          <t>Parcial</t>
        </is>
      </c>
      <c r="G7" s="10" t="inlineStr">
        <is>
          <t>Ninguna</t>
        </is>
      </c>
      <c r="H7" s="10" t="inlineStr">
        <is>
          <t>Que existen multiples formatos y arquitecturas para servir datos geoespaciales y que mostrar mapas en el navegador es como mostrar videos</t>
        </is>
      </c>
    </row>
    <row r="8" ht="228" customHeight="1">
      <c r="A8" s="10" t="n">
        <v>4</v>
      </c>
      <c r="B8" s="10" t="inlineStr">
        <is>
          <t>Claude</t>
        </is>
      </c>
      <c r="C8" s="10" t="inlineStr">
        <is>
          <t>Ahora que se puede visualizar el mapa necesito que se agreguen los lentes para analisis especializado y herramientas que me permitan un mejor estudio</t>
        </is>
      </c>
      <c r="D8" s="12" t="inlineStr">
        <is>
          <t>El modelo digital incorpora cuatro lentes de análisis urbano: Cruce Urbano, Energía, Densificación y Presión Vial, que permiten interpretar diferentes dimensiones de la ciudad. Además, cuenta con un panel Explorar con capas temáticas de movilidad, servicios, turismo, zonas verdes, planificación, edificación 3D y riesgo. Permite analizar puntos mediante radios de 500 m y 1 km, integrando información de edificios, energía, equipamientos y siniestros, así como medir distancias y comparar ortofotos históricas para analizar la evolución urbana.</t>
        </is>
      </c>
      <c r="E8" s="10" t="inlineStr">
        <is>
          <t>Probando los lentes muestreando partes del mapa para ver que encajara con la informacion del lago</t>
        </is>
      </c>
      <c r="F8" s="10" t="inlineStr">
        <is>
          <t>Parcial</t>
        </is>
      </c>
      <c r="G8" s="10" t="inlineStr">
        <is>
          <t>Niguna</t>
        </is>
      </c>
      <c r="H8" s="10" t="n"/>
    </row>
    <row r="9" ht="63.75" customHeight="1">
      <c r="A9" s="10" t="n">
        <v>5</v>
      </c>
      <c r="B9" s="10" t="inlineStr">
        <is>
          <t>Claude</t>
        </is>
      </c>
      <c r="C9" s="10" t="inlineStr">
        <is>
          <t>Crea el apartado de seguridad usando los datos de la policia nacional y el SISC, aunque estos no pueden ser cruzados porque representan cosas diferentes</t>
        </is>
      </c>
      <c r="D9" s="10" t="inlineStr">
        <is>
          <t xml:space="preserve">Me retorno series de tiempo para los datos de la policia y para cada tipo de delito, y despues me retorno un mapa de calor con crimenes desde 2021-2023 por comuna. </t>
        </is>
      </c>
      <c r="E9" s="10" t="inlineStr">
        <is>
          <t>Cuando las cifras de 2026 llegan hasta el ultimo mes reportado</t>
        </is>
      </c>
      <c r="F9" s="10" t="inlineStr">
        <is>
          <t>Completo</t>
        </is>
      </c>
      <c r="G9" s="10" t="inlineStr">
        <is>
          <t>F020 a la F027</t>
        </is>
      </c>
      <c r="H9" s="10" t="inlineStr">
        <is>
          <t>Hay que tener cuidado cuando se intentan cruzar datos ya que hay una discrepancia entre el SISC y los datos de la policia</t>
        </is>
      </c>
    </row>
    <row r="10" ht="63.75" customHeight="1">
      <c r="A10" s="10" t="n">
        <v>6</v>
      </c>
      <c r="B10" s="10" t="inlineStr">
        <is>
          <t>Claude</t>
        </is>
      </c>
      <c r="C10" s="10" t="inlineStr">
        <is>
          <t xml:space="preserve">Crea el apartado de ambiente y satilete </t>
        </is>
      </c>
      <c r="D10" s="10" t="inlineStr">
        <is>
          <t>Como el SIATAno permite CORS entonces se creo una ruta en el servidor de next.js para hacer las peticiones de la calidad del aire y cachearlas.</t>
        </is>
      </c>
      <c r="E10" s="10" t="inlineStr">
        <is>
          <t>Verificamos que estuviera el proxy funcionando, que estuviera la seccion de ambiente, ademas se corrigiendon algunas fuentes de informacion.</t>
        </is>
      </c>
      <c r="F10" s="10" t="inlineStr">
        <is>
          <t>Completo</t>
        </is>
      </c>
      <c r="G10" s="10" t="inlineStr">
        <is>
          <t>modificacion de la URL de la fuente</t>
        </is>
      </c>
      <c r="H10" s="10" t="n"/>
    </row>
    <row r="11" ht="63.75" customHeight="1">
      <c r="A11" s="10" t="n">
        <v>7</v>
      </c>
      <c r="B11" s="10" t="inlineStr">
        <is>
          <t>Claude</t>
        </is>
      </c>
      <c r="C11" s="10" t="inlineStr">
        <is>
          <t>Crea la sección Gente con población, hogares, condiciones de vida, estratos y salud por comuna, con fuentes y vigencias visibles.</t>
        </is>
      </c>
      <c r="D11" s="10" t="inlineStr">
        <is>
          <t>Se integraron proyecciones PPED, hogares, viviendas, IMCV, pobreza, IDH, estratos, salud y pirámide poblacional; se añadieron indicadores territoriales al lago.</t>
        </is>
      </c>
      <c r="E11" s="10" t="inlineStr">
        <is>
          <t>La vista se revisó en un celular real; los 21 territorios muestran vigencia y procedencia de sus indicadores.</t>
        </is>
      </c>
      <c r="F11" s="10" t="inlineStr">
        <is>
          <t>Completo</t>
        </is>
      </c>
      <c r="G11" s="10" t="inlineStr">
        <is>
          <t>F001–F006</t>
        </is>
      </c>
      <c r="H11" s="10" t="inlineStr">
        <is>
          <t>La PPED publicada en 2025 reemplaza la proyección anterior; la población debe corresponder a la serie vigente.</t>
        </is>
      </c>
    </row>
    <row r="12" ht="63.75" customHeight="1">
      <c r="A12" s="10" t="n">
        <v>8</v>
      </c>
      <c r="B12" s="10" t="inlineStr">
        <is>
          <t>Claude</t>
        </is>
      </c>
      <c r="C12" s="10" t="inlineStr">
        <is>
          <t>Construye Economía y vivienda con empleo, precios de vivienda, suelo, licencias y actividad empresarial por territorio.</t>
        </is>
      </c>
      <c r="D12" s="10" t="inlineStr">
        <is>
          <t>Se integraron GEIH, OIME, valor catastral del suelo, licencias, Industria y Comercio y Cámara de Comercio; se creó la vista con series y rankings.</t>
        </is>
      </c>
      <c r="E12" s="10" t="inlineStr">
        <is>
          <t>Vista revisada en celular real; se documentaron periodos y límites de cobertura de cada fuente.</t>
        </is>
      </c>
      <c r="F12" s="10" t="inlineStr">
        <is>
          <t>Completo</t>
        </is>
      </c>
      <c r="G12" s="10" t="inlineStr">
        <is>
          <t>F007–F012</t>
        </is>
      </c>
      <c r="H12" s="10" t="inlineStr">
        <is>
          <t>No se deben mezclar registros empresariales de fuentes y coberturas distintas ni presentar precios nominales como ajustados por inflación.</t>
        </is>
      </c>
    </row>
    <row r="13" ht="63.75" customHeight="1">
      <c r="A13" s="10" t="n">
        <v>9</v>
      </c>
      <c r="B13" s="10" t="inlineStr">
        <is>
          <t>Claude</t>
        </is>
      </c>
      <c r="C13" s="10" t="inlineStr">
        <is>
          <t>Crea Turismo con visitantes, pasajeros, ocupación histórica, atractivos y hospedajes por comuna.</t>
        </is>
      </c>
      <c r="D13" s="10" t="inlineStr">
        <is>
          <t>Se integraron MinCIT, Aerocivil, datos históricos de turismo, atractivos y hospedajes de OpenStreetMap en una sección y capas del mapa.</t>
        </is>
      </c>
      <c r="E13" s="10" t="inlineStr">
        <is>
          <t>Vista revisada en celular real; hospedajes filtrados por el límite distrital y los datos históricos rotulados con su vigencia.</t>
        </is>
      </c>
      <c r="F13" s="10" t="inlineStr">
        <is>
          <t>Completo</t>
        </is>
      </c>
      <c r="G13" s="10" t="inlineStr">
        <is>
          <t>F028–F034</t>
        </is>
      </c>
      <c r="H13" s="10" t="inlineStr">
        <is>
          <t>Pasajeros aéreos no equivalen a turistas; OSM es colaborativo y no sustituye el Registro Nacional de Turismo.</t>
        </is>
      </c>
    </row>
    <row r="14" ht="63.75" customHeight="1">
      <c r="A14" s="10" t="n">
        <v>10</v>
      </c>
      <c r="B14" s="10" t="inlineStr">
        <is>
          <t>Claude</t>
        </is>
      </c>
      <c r="C14" s="10" t="inlineStr">
        <is>
          <t>Crea Municipio con presupuesto, inversión por territorio, contratación, Concejo y facturación predial.</t>
        </is>
      </c>
      <c r="D14" s="10" t="inlineStr">
        <is>
          <t>Se integraron CUIPO, inversión por comuna, SECOP II, actividad del Concejo y predial histórico en la nueva sección Municipio.</t>
        </is>
      </c>
      <c r="E14" s="10" t="inlineStr">
        <is>
          <t>Vista revisada en celular real; presupuesto contrastado con CUIPO y predial rotulado como facturación histórica, no recaudo.</t>
        </is>
      </c>
      <c r="F14" s="10" t="inlineStr">
        <is>
          <t>Completo</t>
        </is>
      </c>
      <c r="G14" s="10" t="inlineStr">
        <is>
          <t>F035–F041</t>
        </is>
      </c>
      <c r="H14" s="10" t="inlineStr">
        <is>
          <t>Cuando una fuente no permite confirmar la vigencia, se reemplaza por otra verificable o se declara expresamente el límite.</t>
        </is>
      </c>
    </row>
    <row r="15" ht="63.75" customHeight="1">
      <c r="A15" s="10" t="n">
        <v>11</v>
      </c>
      <c r="B15" s="10" t="inlineStr">
        <is>
          <t>Claude</t>
        </is>
      </c>
      <c r="C15" s="10" t="inlineStr">
        <is>
          <t>Añade Servicios públicos con cobertura, suscriptores, tarifas, subsidios, reciclaje e internet por territorio.</t>
        </is>
      </c>
      <c r="D15" s="10" t="inlineStr">
        <is>
          <t>Se integraron datos de EPM, Emvarias, Superservicios y MEData; la cobertura de internet por comuna quedó como candidata.</t>
        </is>
      </c>
      <c r="E15" s="10" t="inlineStr">
        <is>
          <t>Probada a 1400 y 390 px sin desbordamiento; tarifas, coberturas y datos candidatos quedan identificados.</t>
        </is>
      </c>
      <c r="F15" s="10" t="inlineStr">
        <is>
          <t>Completo</t>
        </is>
      </c>
      <c r="G15" s="10" t="inlineStr">
        <is>
          <t>F042–F054</t>
        </is>
      </c>
      <c r="H15" s="10" t="inlineStr">
        <is>
          <t>Si no existe cobertura territorial abierta, hay que marcarla como candidata en vez de ocultar la ausencia.</t>
        </is>
      </c>
    </row>
    <row r="16" ht="63.75" customHeight="1">
      <c r="A16" s="10" t="n">
        <v>12</v>
      </c>
      <c r="B16" s="10" t="inlineStr">
        <is>
          <t>Claude</t>
        </is>
      </c>
      <c r="C16" s="10" t="inlineStr">
        <is>
          <t>Crea Territorio y cultura con riesgos del POT, usos del suelo, patrimonio, equipamientos y espacio público.</t>
        </is>
      </c>
      <c r="D16" s="10" t="inlineStr">
        <is>
          <t>Se añadieron 25 cifras y 21 indicadores territoriales, mapas de riesgo y capas de cultura y educación.</t>
        </is>
      </c>
      <c r="E16" s="10" t="inlineStr">
        <is>
          <t>Probada a 1400 y 390 px; se verificó que el Acuerdo 48 de 2014 sigue vigente y se explicaron las limitaciones de cada capa.</t>
        </is>
      </c>
      <c r="F16" s="10" t="inlineStr">
        <is>
          <t>Completo</t>
        </is>
      </c>
      <c r="G16" s="10" t="inlineStr">
        <is>
          <t>F056–F079</t>
        </is>
      </c>
      <c r="H16" s="10" t="inlineStr">
        <is>
          <t>Las capas con cobertura o fecha parcial necesitan una nota visible; el estado provisional de un mapa no cambia por su nombre.</t>
        </is>
      </c>
    </row>
    <row r="17" ht="63.75" customHeight="1">
      <c r="A17" s="10" t="n">
        <v>13</v>
      </c>
      <c r="B17" s="10" t="inlineStr">
        <is>
          <t>Claude</t>
        </is>
      </c>
      <c r="C17" s="10" t="inlineStr">
        <is>
          <t>Construye un Atlas para comparar comunas, barrios y municipios del Área Metropolitana con métricas del lago.</t>
        </is>
      </c>
      <c r="D17" s="10" t="inlineStr">
        <is>
          <t>El Atlas reúne 52 métricas por comuna, 13 por barrio y comparación poblacional regional, con mapa, ranking y fichas.</t>
        </is>
      </c>
      <c r="E17" s="10" t="inlineStr">
        <is>
          <t>tests/atlas.test.mjs y QA a 1400 y 390 px; métricas y territorios cotejados contra el lago.</t>
        </is>
      </c>
      <c r="F17" s="10" t="inlineStr">
        <is>
          <t>Completo</t>
        </is>
      </c>
      <c r="G17" s="10" t="inlineStr">
        <is>
          <t>Derivadas de F001–F079; sin fuente nueva</t>
        </is>
      </c>
      <c r="H17" s="10" t="inlineStr">
        <is>
          <t>Reutilizar contratos comunes permite comparar datos de temas distintos sin inventar métricas que no estén en el lago.</t>
        </is>
      </c>
    </row>
    <row r="18" ht="63.75" customHeight="1">
      <c r="A18" s="10" t="n">
        <v>14</v>
      </c>
      <c r="B18" s="10" t="inlineStr">
        <is>
          <t>Claude</t>
        </is>
      </c>
      <c r="C18" s="10" t="inlineStr">
        <is>
          <t>Agrega una matriz de correlaciones y un diagrama interactivo para explorar pares de métricas del Atlas.</t>
        </is>
      </c>
      <c r="D18" s="10" t="inlineStr">
        <is>
          <t>Se implementó Spearman para 24 métricas, con diagrama de dispersión, tabla y advertencias sobre n y causalidad.</t>
        </is>
      </c>
      <c r="E18" s="10" t="inlineStr">
        <is>
          <t>tests/correlaciones.test.mjs y QA a 1400 y 390 px; los pares y tamaños de muestra se contrastan con el lago.</t>
        </is>
      </c>
      <c r="F18" s="10" t="inlineStr">
        <is>
          <t>Completo</t>
        </is>
      </c>
      <c r="G18" s="10" t="inlineStr">
        <is>
          <t>Derivadas del Atlas; sin fuente nueva</t>
        </is>
      </c>
      <c r="H18" s="10" t="inlineStr">
        <is>
          <t>Con 21 territorios conviene comparar rangos y mostrar periodos y datos faltantes; correlación no implica causalidad.</t>
        </is>
      </c>
    </row>
    <row r="19" ht="63.75" customHeight="1">
      <c r="A19" s="10" t="n">
        <v>15</v>
      </c>
      <c r="B19" s="10" t="inlineStr">
        <is>
          <t>Claude</t>
        </is>
      </c>
      <c r="C19" s="10" t="inlineStr">
        <is>
          <t>Crea Escucha social con visitas de Wikipedia y cobertura de prensa, indicando qué miden y qué no.</t>
        </is>
      </c>
      <c r="D19" s="10" t="inlineStr">
        <is>
          <t>Se integraron Pageviews de Wikipedia y GDELT con series, filtro de ruido, temas y titulares enlazados.</t>
        </is>
      </c>
      <c r="E19" s="10" t="inlineStr">
        <is>
          <t>tests/test_escucha.py y QA a 1400 y 390 px; se probaron filtros y controles de ambas fuentes.</t>
        </is>
      </c>
      <c r="F19" s="10" t="inlineStr">
        <is>
          <t>Completo</t>
        </is>
      </c>
      <c r="G19" s="10" t="inlineStr">
        <is>
          <t>F090–F092</t>
        </is>
      </c>
      <c r="H19" s="10" t="inlineStr">
        <is>
          <t>Las vistas y el volumen de prensa no miden opinión; el filtrado de titulares debe poder revisarse.</t>
        </is>
      </c>
    </row>
    <row r="20" ht="63.75" customHeight="1">
      <c r="A20" s="10" t="n">
        <v>16</v>
      </c>
      <c r="B20" s="10" t="inlineStr">
        <is>
          <t>Claude</t>
        </is>
      </c>
      <c r="C20" s="10" t="inlineStr">
        <is>
          <t>Crea un Panorama con cifras ancla, diagnóstico por territorio, prioridades, comparación y búsqueda de lugares.</t>
        </is>
      </c>
      <c r="D20" s="10" t="inlineStr">
        <is>
          <t>Se implementó un diagnóstico derivado con cuatro prioridades, mapa, ranking, comparación y búsqueda; las cifras ancla leen del lago.</t>
        </is>
      </c>
      <c r="E20" s="10" t="inlineStr">
        <is>
          <t>tests/diagnostico.test.mjs y QA a 1400 y 390 px; se probaron prioridades, comparación, buscador y enlace al gemelo.</t>
        </is>
      </c>
      <c r="F20" s="10" t="inlineStr">
        <is>
          <t>Completo</t>
        </is>
      </c>
      <c r="G20" s="10" t="inlineStr">
        <is>
          <t>Derivadas de F001–F079; sin fuente nueva</t>
        </is>
      </c>
      <c r="H20" s="10" t="inlineStr">
        <is>
          <t>El diagnóstico debe mostrar cálculo, fuente y contexto sin juicios de valor; las métricas de contexto quedan fuera del índice.</t>
        </is>
      </c>
    </row>
    <row r="21" ht="63.75" customHeight="1">
      <c r="A21" s="10" t="n">
        <v>17</v>
      </c>
      <c r="B21" s="10" t="inlineStr">
        <is>
          <t>Claude</t>
        </is>
      </c>
      <c r="C21" s="10" t="inlineStr">
        <is>
          <t>Convierte Fuentes en un catálogo filtrable y explica ingesta, verificación, vigencia y estados de los datos.</t>
        </is>
      </c>
      <c r="D21" s="10" t="inlineStr">
        <is>
          <t>Se creó Fuentes y método con catálogo, filtros, conteos, trazabilidad y explicación del proceso reproducible.</t>
        </is>
      </c>
      <c r="E21" s="10" t="inlineStr">
        <is>
          <t>tests/fuentes.test.mjs, tests de ingesta y QA a 1400 y 390 px; catálogo cotejado con los temas del lago.</t>
        </is>
      </c>
      <c r="F21" s="10" t="inlineStr">
        <is>
          <t>Completo</t>
        </is>
      </c>
      <c r="G21" s="10" t="inlineStr">
        <is>
          <t>F001–F092</t>
        </is>
      </c>
      <c r="H21" s="10" t="inlineStr">
        <is>
          <t>La documentación debe describir el proceso que realmente corre y explicar cada estado antes de mostrar el catálogo.</t>
        </is>
      </c>
    </row>
    <row r="22" ht="63.75" customHeight="1">
      <c r="A22" s="10" t="n">
        <v>18</v>
      </c>
      <c r="B22" s="10" t="inlineStr">
        <is>
          <t>Claude</t>
        </is>
      </c>
      <c r="C22" s="10" t="inlineStr">
        <is>
          <t>Completa la experiencia general con buscador global, clima y reloj, estado del lago, modo presentación y revisión móvil; decide si requiere clave.</t>
        </is>
      </c>
      <c r="D22" s="10" t="inlineStr">
        <is>
          <t>La issue sigue pendiente. La navegación por hash ya existe parcialmente; buscador global, clima, estado del lago, modo presentación y revisión de accesibilidad y rendimiento faltan.</t>
        </is>
      </c>
      <c r="E22" s="10" t="inlineStr">
        <is>
          <t>Se contrastó el estado con las tareas de la issue: permanece sin marcar; la clave de acceso tampoco está implementada.</t>
        </is>
      </c>
      <c r="F22" s="10" t="inlineStr">
        <is>
          <t>Parcial</t>
        </is>
      </c>
      <c r="G22" s="10" t="inlineStr">
        <is>
          <t>Pendiente; Open-Meteo propuesto, sin ID de catálogo</t>
        </is>
      </c>
      <c r="H22" s="10" t="inlineStr">
        <is>
          <t>Conviene separar lo ya disponible de las tareas pendientes y validar la experiencia móvil antes de cerrar la issue.</t>
        </is>
      </c>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row r="28">
      <c r="A28" s="10" t="n"/>
      <c r="B28" s="10" t="n"/>
      <c r="C28" s="10" t="n"/>
      <c r="D28" s="10" t="n"/>
      <c r="E28" s="10" t="n"/>
      <c r="F28" s="10" t="n"/>
      <c r="G28" s="10" t="n"/>
      <c r="H28" s="10" t="n"/>
    </row>
    <row r="29">
      <c r="A29" s="10" t="n"/>
      <c r="B29" s="10" t="n"/>
      <c r="C29" s="10" t="n"/>
      <c r="D29" s="10" t="n"/>
      <c r="E29" s="10" t="n"/>
      <c r="F29" s="10" t="n"/>
      <c r="G29" s="10" t="n"/>
      <c r="H29" s="10" t="n"/>
    </row>
    <row r="30">
      <c r="A30" s="10" t="n"/>
      <c r="B30" s="10" t="n"/>
      <c r="C30" s="10" t="n"/>
      <c r="D30" s="10" t="n"/>
      <c r="E30" s="10" t="n"/>
      <c r="F30" s="10" t="n"/>
      <c r="G30" s="10" t="n"/>
      <c r="H30" s="10" t="n"/>
    </row>
    <row r="31">
      <c r="A31" s="10" t="n"/>
      <c r="B31" s="10" t="n"/>
      <c r="C31" s="10" t="n"/>
      <c r="D31" s="10" t="n"/>
      <c r="E31" s="10" t="n"/>
      <c r="F31" s="10" t="n"/>
      <c r="G31" s="10" t="n"/>
      <c r="H31" s="10" t="n"/>
    </row>
    <row r="32">
      <c r="A32" s="10" t="n"/>
      <c r="B32" s="10" t="n"/>
      <c r="C32" s="10" t="n"/>
      <c r="D32" s="10" t="n"/>
      <c r="E32" s="10" t="n"/>
      <c r="F32" s="10" t="n"/>
      <c r="G32" s="10" t="n"/>
      <c r="H32" s="10" t="n"/>
    </row>
    <row r="33">
      <c r="A33" s="10" t="n"/>
      <c r="B33" s="10" t="n"/>
      <c r="C33" s="10" t="n"/>
      <c r="D33" s="10" t="n"/>
      <c r="E33" s="10" t="n"/>
      <c r="F33" s="10" t="n"/>
      <c r="G33" s="10" t="n"/>
      <c r="H33" s="10" t="n"/>
    </row>
    <row r="34">
      <c r="A34" s="10" t="n"/>
      <c r="B34" s="10" t="n"/>
      <c r="C34" s="10" t="n"/>
      <c r="D34" s="10" t="n"/>
      <c r="E34" s="10" t="n"/>
      <c r="F34" s="10" t="n"/>
      <c r="G34" s="10" t="n"/>
      <c r="H34" s="10" t="n"/>
    </row>
    <row r="35">
      <c r="A35" s="10" t="n"/>
      <c r="B35" s="10" t="n"/>
      <c r="C35" s="10" t="n"/>
      <c r="D35" s="10" t="n"/>
      <c r="E35" s="10" t="n"/>
      <c r="F35" s="10" t="n"/>
      <c r="G35" s="10" t="n"/>
      <c r="H35" s="10" t="n"/>
    </row>
    <row r="36">
      <c r="A36" s="10" t="n"/>
      <c r="B36" s="10" t="n"/>
      <c r="C36" s="10" t="n"/>
      <c r="D36" s="10" t="n"/>
      <c r="E36" s="10" t="n"/>
      <c r="F36" s="10" t="n"/>
      <c r="G36" s="10" t="n"/>
      <c r="H36" s="10" t="n"/>
    </row>
    <row r="37">
      <c r="A37" s="10" t="n"/>
      <c r="B37" s="10" t="n"/>
      <c r="C37" s="10" t="n"/>
      <c r="D37" s="10" t="n"/>
      <c r="E37" s="10" t="n"/>
      <c r="F37" s="10" t="n"/>
      <c r="G37" s="10" t="n"/>
      <c r="H37" s="10" t="n"/>
    </row>
    <row r="38">
      <c r="A38" s="10" t="n"/>
      <c r="B38" s="10" t="n"/>
      <c r="C38" s="10" t="n"/>
      <c r="D38" s="10" t="n"/>
      <c r="E38" s="10" t="n"/>
      <c r="F38" s="10" t="n"/>
      <c r="G38" s="10" t="n"/>
      <c r="H38" s="10" t="n"/>
    </row>
    <row r="39">
      <c r="A39" s="10" t="n"/>
      <c r="B39" s="10" t="n"/>
      <c r="C39" s="10" t="n"/>
      <c r="D39" s="10" t="n"/>
      <c r="E39" s="10" t="n"/>
      <c r="F39" s="10" t="n"/>
      <c r="G39" s="10" t="n"/>
      <c r="H39" s="10" t="n"/>
    </row>
    <row r="40">
      <c r="A40" s="10" t="n"/>
      <c r="B40" s="10" t="n"/>
      <c r="C40" s="10" t="n"/>
      <c r="D40" s="10" t="n"/>
      <c r="E40" s="10" t="n"/>
      <c r="F40" s="10" t="n"/>
      <c r="G40" s="10" t="n"/>
      <c r="H40" s="10" t="n"/>
    </row>
    <row r="41">
      <c r="A41" s="10" t="n"/>
      <c r="B41" s="10" t="n"/>
      <c r="C41" s="10" t="n"/>
      <c r="D41" s="10" t="n"/>
      <c r="E41" s="10" t="n"/>
      <c r="F41" s="10" t="n"/>
      <c r="G41" s="10" t="n"/>
      <c r="H41" s="10" t="n"/>
    </row>
    <row r="42">
      <c r="A42" s="10" t="n"/>
      <c r="B42" s="10" t="n"/>
      <c r="C42" s="10" t="n"/>
      <c r="D42" s="10" t="n"/>
      <c r="E42" s="10" t="n"/>
      <c r="F42" s="10" t="n"/>
      <c r="G42" s="10" t="n"/>
      <c r="H42" s="10" t="n"/>
    </row>
    <row r="43">
      <c r="A43" s="10" t="n"/>
      <c r="B43" s="10" t="n"/>
      <c r="C43" s="10" t="n"/>
      <c r="D43" s="10" t="n"/>
      <c r="E43" s="10" t="n"/>
      <c r="F43" s="10" t="n"/>
      <c r="G43" s="10" t="n"/>
      <c r="H43" s="10" t="n"/>
    </row>
    <row r="44">
      <c r="A44" s="10" t="n"/>
      <c r="B44" s="10" t="n"/>
      <c r="C44" s="10" t="n"/>
      <c r="D44" s="10" t="n"/>
      <c r="E44" s="10" t="n"/>
      <c r="F44" s="10" t="n"/>
      <c r="G44" s="10" t="n"/>
      <c r="H44" s="10" t="n"/>
    </row>
    <row r="45">
      <c r="A45" s="10" t="inlineStr">
        <is>
          <t>19</t>
        </is>
      </c>
      <c r="B45" s="10" t="inlineStr">
        <is>
          <t>Claude Code</t>
        </is>
      </c>
      <c r="C45" s="10" t="inlineStr">
        <is>
          <t>Entrega 2 · Revisar la contradicción del SISC que señaló el profesor</t>
        </is>
      </c>
      <c r="D45" s="10" t="inlineStr">
        <is>
          <t>Abrió la cabecera del CSV de homicidios: trae sexo, edad, estado civil, ocupación, discapacidad, grupo especial y coordenadas de cada víctima</t>
        </is>
      </c>
      <c r="E45" s="10" t="inlineStr">
        <is>
          <t>curl a los primeros bytes de 4 archivos del SISC en MEData</t>
        </is>
      </c>
      <c r="F45" s="10" t="inlineStr">
        <is>
          <t>Completo</t>
        </is>
      </c>
      <c r="G45" s="10" t="inlineStr">
        <is>
          <t>F020–F027</t>
        </is>
      </c>
      <c r="H45" s="10" t="inlineStr">
        <is>
          <t>En la entrega 1 la IA llenó «¿Trae datos de personas?» pensando en lo que guarda el lago y no en lo que trae la fuente. Ninguno de los dos lo revisó.</t>
        </is>
      </c>
    </row>
    <row r="46">
      <c r="A46" s="10" t="inlineStr">
        <is>
          <t>20</t>
        </is>
      </c>
      <c r="B46" s="10" t="inlineStr">
        <is>
          <t>Claude Code</t>
        </is>
      </c>
      <c r="C46" s="10" t="inlineStr">
        <is>
          <t>Entrega 2 · Explicar la rentabilidad de 18 % en estrato 1</t>
        </is>
      </c>
      <c r="D46" s="10" t="inlineStr">
        <is>
          <t>Encontró que el arriendo de estrato 1 eran 31 ofertas (29 apartamentos) y la venta 366 (303 casas a la mitad del precio por m²)</t>
        </is>
      </c>
      <c r="E46" s="10" t="inlineStr">
        <is>
          <t>Se repitió la consulta a la OIME separando casas y apartamentos</t>
        </is>
      </c>
      <c r="F46" s="10" t="inlineStr">
        <is>
          <t>Completo</t>
        </is>
      </c>
      <c r="G46" s="10" t="inlineStr">
        <is>
          <t>F008</t>
        </is>
      </c>
      <c r="H46" s="10" t="inlineStr">
        <is>
          <t>Error de la IA en la entrega 1: dividió medianas de inmuebles distintos. Ahora compara apartamentos con apartamentos y exige 30 ofertas de cada lado.</t>
        </is>
      </c>
    </row>
    <row r="47">
      <c r="A47" s="10" t="inlineStr">
        <is>
          <t>21</t>
        </is>
      </c>
      <c r="B47" s="10" t="inlineStr">
        <is>
          <t>Claude Code</t>
        </is>
      </c>
      <c r="C47" s="10" t="inlineStr">
        <is>
          <t>Entrega 2 · Corregir la tasa del SISC</t>
        </is>
      </c>
      <c r="D47" s="10" t="inlineStr">
        <is>
          <t>La tasa de la entrega 1 sumaba 3 años (el último cortado el 29 de noviembre de 2023) y los dividía entre la población del DAP de 2026, 10,3 % más alta que la del DANE</t>
        </is>
      </c>
      <c r="E47" s="10" t="inlineStr">
        <is>
          <t>Se leyó el código de ingesta y la nota del indicador</t>
        </is>
      </c>
      <c r="F47" s="10" t="inlineStr">
        <is>
          <t>Completo</t>
        </is>
      </c>
      <c r="G47" s="10" t="inlineStr">
        <is>
          <t>F020–F027, F001, F003</t>
        </is>
      </c>
      <c r="H47" s="10" t="inlineStr">
        <is>
          <t>La IA había escrito «No es una tasa anual» en la nota en vez de arreglarla. Ahora: un año completo sobre la población de ese mismo año.</t>
        </is>
      </c>
    </row>
    <row r="48">
      <c r="A48" s="10" t="inlineStr">
        <is>
          <t>22</t>
        </is>
      </c>
      <c r="B48" s="10" t="inlineStr">
        <is>
          <t>Claude Code</t>
        </is>
      </c>
      <c r="C48" s="10" t="inlineStr">
        <is>
          <t>Entrega 2 · Corregir el verde por habitante</t>
        </is>
      </c>
      <c r="D48" s="10" t="inlineStr">
        <is>
          <t>El inventario es de 2019 y se dividía entre la población de 2026; la nota lo advertía pero la cifra seguía mezclando años</t>
        </is>
      </c>
      <c r="E48" s="10" t="inlineStr">
        <is>
          <t>Se comparó la vigencia de numerador y denominador</t>
        </is>
      </c>
      <c r="F48" s="10" t="inlineStr">
        <is>
          <t>Completo</t>
        </is>
      </c>
      <c r="G48" s="10" t="inlineStr">
        <is>
          <t>F078</t>
        </is>
      </c>
      <c r="H48" s="10" t="inlineStr">
        <is>
          <t>Una advertencia en la nota no arregla una cifra: ahora inventario y población son de 2019.</t>
        </is>
      </c>
    </row>
    <row r="49">
      <c r="A49" s="10" t="inlineStr">
        <is>
          <t>23</t>
        </is>
      </c>
      <c r="B49" s="10" t="inlineStr">
        <is>
          <t>Claude Code</t>
        </is>
      </c>
      <c r="C49" s="10" t="inlineStr">
        <is>
          <t>Entrega 2 · Leer la licencia de las 93 fuentes</t>
        </is>
      </c>
      <c r="D49" s="10" t="inlineStr">
        <is>
          <t>Automatizó la lectura en datos.gov.co y MEData; para los servidores ArcGIS propuso leer copyrightText</t>
        </is>
      </c>
      <c r="E49" s="10" t="inlineStr">
        <is>
          <t>Se compararon con las fichas: copyrightText es un crédito, no una licencia</t>
        </is>
      </c>
      <c r="F49" s="10" t="inlineStr">
        <is>
          <t>Parcial</t>
        </is>
      </c>
      <c r="G49" s="10" t="inlineStr">
        <is>
          <t>F001–F093</t>
        </is>
      </c>
      <c r="H49" s="10" t="inlineStr">
        <is>
          <t>Se registró «no declara» con el crédito en observaciones. 10 fuentes del portal del Área Metropolitana quedaron sin verificar porque respondía 502.</t>
        </is>
      </c>
    </row>
    <row r="50">
      <c r="A50" s="10" t="inlineStr">
        <is>
          <t>24</t>
        </is>
      </c>
      <c r="B50" s="10" t="inlineStr">
        <is>
          <t>Claude Code</t>
        </is>
      </c>
      <c r="C50" s="10" t="inlineStr">
        <is>
          <t>Entrega 2 · Numerar las fuentes con un código</t>
        </is>
      </c>
      <c r="D50" s="10" t="inlineStr">
        <is>
          <t>Las numeró F01–F93 por su cuenta, sin mirar el Excel de la entrega 1; desde F057 no coincidía con nuestros IDs</t>
        </is>
      </c>
      <c r="E50" s="10" t="inlineStr">
        <is>
          <t>Se cruzó cada URL del catálogo con la hoja 1. Fuentes</t>
        </is>
      </c>
      <c r="F50" s="10" t="inlineStr">
        <is>
          <t>Completo</t>
        </is>
      </c>
      <c r="G50" s="10" t="inlineStr">
        <is>
          <t>F057–F093</t>
        </is>
      </c>
      <c r="H50" s="10" t="inlineStr">
        <is>
          <t>Los IDs los pone el grupo, no la IA: se volvió a los de la entrega 1 y Open-Meteo, que no estaba, quedó como F093.</t>
        </is>
      </c>
    </row>
    <row r="51">
      <c r="A51" s="10" t="inlineStr">
        <is>
          <t>25</t>
        </is>
      </c>
      <c r="B51" s="10" t="inlineStr">
        <is>
          <t>Claude Code</t>
        </is>
      </c>
      <c r="C51" s="10" t="inlineStr">
        <is>
          <t>Entrega 2 · Revisar si hay datos de personas a la vista</t>
        </is>
      </c>
      <c r="D51" s="10" t="inlineStr">
        <is>
          <t>Encontró titulares de prensa que nombran víctimas («Falleció joven de 20 años…», capturas con alias) y barrios con 1 a 4 homicidios en el mapa</t>
        </is>
      </c>
      <c r="E51" s="10" t="inlineStr">
        <is>
          <t>Se leyeron 40 titulares al azar y se contaron los barrios con menos de 5 casos (161 de 239 en homicidios)</t>
        </is>
      </c>
      <c r="F51" s="10" t="inlineStr">
        <is>
          <t>Completo</t>
        </is>
      </c>
      <c r="G51" s="10" t="inlineStr">
        <is>
          <t>F092, F020–F027</t>
        </is>
      </c>
      <c r="H51" s="10" t="inlineStr">
        <is>
          <t>Se agregó un filtro de titulares sobre personas y el mapa por barrio ya no publica conteos menores de 5.</t>
        </is>
      </c>
    </row>
    <row r="52">
      <c r="A52" s="10" t="inlineStr">
        <is>
          <t>26</t>
        </is>
      </c>
      <c r="B52" s="10" t="inlineStr">
        <is>
          <t>Claude Code</t>
        </is>
      </c>
      <c r="C52" s="10" t="inlineStr">
        <is>
          <t>Entrega 2 · Probar Streamlit con la misma tabla</t>
        </is>
      </c>
      <c r="D52" s="10" t="inlineStr">
        <is>
          <t>La app funcionó; st.bar_chart ordenó las barras por nombre y no por valor, y el mapa por comuna pidió instalar pydeck</t>
        </is>
      </c>
      <c r="E52" s="10" t="inlineStr">
        <is>
          <t>Se corrió la app y se tomó una captura (exploracion/streamlit)</t>
        </is>
      </c>
      <c r="F52" s="10" t="inlineStr">
        <is>
          <t>Parcial</t>
        </is>
      </c>
      <c r="G52" s="10" t="inlineStr">
        <is>
          <t>F020</t>
        </is>
      </c>
      <c r="H52" s="10" t="inlineStr">
        <is>
          <t>El entorno virtual falló con Python 3.14 (sin ensurepip) y hubo que usar 3.12.</t>
        </is>
      </c>
    </row>
    <row r="53">
      <c r="A53" s="10" t="inlineStr">
        <is>
          <t>27</t>
        </is>
      </c>
      <c r="B53" s="10" t="inlineStr">
        <is>
          <t>Claude Code</t>
        </is>
      </c>
      <c r="C53" s="10" t="inlineStr">
        <is>
          <t>Entrega 2 · Probar Observable Framework con la misma tabla</t>
        </is>
      </c>
      <c r="D53" s="10" t="inlineStr">
        <is>
          <t>El mapa salió como un rectángulo lleno y las barras no se ordenaron al primer intento</t>
        </is>
      </c>
      <c r="E53" s="10" t="inlineStr">
        <is>
          <t>Capturas antes y después (exploracion/observable)</t>
        </is>
      </c>
      <c r="F53" s="10" t="inlineStr">
        <is>
          <t>Parcial</t>
        </is>
      </c>
      <c r="G53" s="10" t="inlineStr">
        <is>
          <t>F020</t>
        </is>
      </c>
      <c r="H53" s="10" t="inlineStr">
        <is>
          <t>Los polígonos de ArcGIS vienen con el giro contrario al que espera d3; se resolvió con la proyección reflect-y.</t>
        </is>
      </c>
    </row>
    <row r="54">
      <c r="A54" s="10" t="inlineStr">
        <is>
          <t>28</t>
        </is>
      </c>
      <c r="B54" s="10" t="inlineStr">
        <is>
          <t>Claude Code</t>
        </is>
      </c>
      <c r="C54" s="10" t="inlineStr">
        <is>
          <t>Entrega 2 · Probar kepler.gl con la misma tabla</t>
        </is>
      </c>
      <c r="D54" s="10" t="inlineStr">
        <is>
          <t>Abrió la demo y subió el GeoJSON, pero el clic en «Add Data» no se completó en un Chrome sin ventana</t>
        </is>
      </c>
      <c r="E54" s="10" t="inlineStr">
        <is>
          <t>Capturas de cada paso (exploracion/kepler)</t>
        </is>
      </c>
      <c r="F54" s="10" t="inlineStr">
        <is>
          <t>Parcial</t>
        </is>
      </c>
      <c r="G54" s="10" t="inlineStr">
        <is>
          <t>F020</t>
        </is>
      </c>
      <c r="H54" s="10" t="inlineStr">
        <is>
          <t>Queda pendiente terminar la prueba a mano en un navegador normal.</t>
        </is>
      </c>
    </row>
    <row r="55">
      <c r="A55" s="10" t="inlineStr">
        <is>
          <t>29</t>
        </is>
      </c>
      <c r="B55" s="10" t="inlineStr">
        <is>
          <t>Claude Code</t>
        </is>
      </c>
      <c r="C55" s="10" t="inlineStr">
        <is>
          <t>Entrega 2 · Errores de la entrega 1 que no se habían registrado</t>
        </is>
      </c>
      <c r="D55" s="10" t="inlineStr">
        <is>
          <t>La afluencia del Metro salió en 1,99 millones por día: sumaba la columna de total dos veces (son 997.000)</t>
        </is>
      </c>
      <c r="E55" s="10" t="inlineStr">
        <is>
          <t>Se comparó con el total que publica el Metro</t>
        </is>
      </c>
      <c r="F55" s="10" t="inlineStr">
        <is>
          <t>Completo</t>
        </is>
      </c>
      <c r="G55" s="10" t="inlineStr">
        <is>
          <t>F055</t>
        </is>
      </c>
      <c r="H55" s="10" t="inlineStr">
        <is>
          <t>Se registra ahora: en la entrega 1 la bitácora decía que todo había salido bien.</t>
        </is>
      </c>
    </row>
    <row r="56">
      <c r="A56" s="10" t="inlineStr">
        <is>
          <t>30</t>
        </is>
      </c>
      <c r="B56" s="10" t="inlineStr">
        <is>
          <t>Claude Code</t>
        </is>
      </c>
      <c r="C56" s="10" t="inlineStr">
        <is>
          <t>Entrega 2 · Errores de la entrega 1 que no se habían registrado</t>
        </is>
      </c>
      <c r="D56" s="10" t="inlineStr">
        <is>
          <t>Al dividir el mapa 3D en archivos dejó una función sin importar: tocar el mapa no abría ninguna ficha. Además mostraba «-999 dB» (el código de «sin dato» del SIATA) como una lectura real</t>
        </is>
      </c>
      <c r="E56" s="10" t="inlineStr">
        <is>
          <t>Prueba con clics en un Chrome sin ventana (npm run qa)</t>
        </is>
      </c>
      <c r="F56" s="10" t="inlineStr">
        <is>
          <t>Completo</t>
        </is>
      </c>
      <c r="G56" s="10" t="inlineStr">
        <is>
          <t>F084</t>
        </is>
      </c>
      <c r="H56" s="10" t="inlineStr">
        <is>
          <t>El lint y las pruebas unitarias no lo veían: solo hacer clic lo encontró.</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5.xml><?xml version="1.0" encoding="utf-8"?>
<worksheet xmlns="http://schemas.openxmlformats.org/spreadsheetml/2006/main">
  <sheetPr>
    <outlinePr applyStyles="0" summaryBelow="1" summaryRight="1" showOutlineSymbols="1"/>
    <pageSetUpPr autoPageBreaks="1" fitToPage="0"/>
  </sheetPr>
  <dimension ref="A1:B17"/>
  <sheetViews>
    <sheetView zoomScale="100" workbookViewId="0">
      <selection activeCell="A1" activeCellId="0" sqref="A1"/>
    </sheetView>
  </sheetViews>
  <sheetFormatPr baseColWidth="10" defaultColWidth="8.83203125" defaultRowHeight="14.25"/>
  <cols>
    <col width="48" customWidth="1" min="1" max="1"/>
    <col width="14" customWidth="1" min="2" max="2"/>
  </cols>
  <sheetData>
    <row r="1" ht="18" customHeight="1">
      <c r="A1" s="6" t="inlineStr">
        <is>
          <t>Resumen del lago</t>
        </is>
      </c>
    </row>
    <row r="2">
      <c r="A2" s="7" t="inlineStr">
        <is>
          <t>Se calcula solo desde las otras hojas; no cuenta las filas de ejemplo (fila 4).</t>
        </is>
      </c>
    </row>
    <row r="3"/>
    <row r="4">
      <c r="A4" s="13" t="inlineStr">
        <is>
          <t>Fuentes registradas</t>
        </is>
      </c>
      <c r="B4" s="14">
        <f>COUNTA('1. Fuentes'!A5:A97)</f>
        <v/>
      </c>
    </row>
    <row r="5">
      <c r="A5" s="15" t="inlineStr">
        <is>
          <t xml:space="preserve">  · integradas al lago</t>
        </is>
      </c>
      <c r="B5" s="14">
        <f>COUNTIF('1. Fuentes'!N5:N97,"Integrada al lago")</f>
        <v/>
      </c>
    </row>
    <row r="6">
      <c r="A6" s="15" t="inlineStr">
        <is>
          <t xml:space="preserve">  · candidatas</t>
        </is>
      </c>
      <c r="B6" s="14">
        <f>COUNTIF('1. Fuentes'!N5:N97,"Candidata")</f>
        <v/>
      </c>
    </row>
    <row r="7">
      <c r="A7" s="15" t="inlineStr">
        <is>
          <t xml:space="preserve">  · que no responden</t>
        </is>
      </c>
      <c r="B7" s="14">
        <f>COUNTIF('1. Fuentes'!N5:N97,"No responde")</f>
        <v/>
      </c>
    </row>
    <row r="8">
      <c r="A8" s="15" t="inlineStr">
        <is>
          <t xml:space="preserve">  · que no existen (inventadas por la IA)</t>
        </is>
      </c>
      <c r="B8" s="14">
        <f>COUNTIF('1. Fuentes'!N5:N97,"No existe (la inventó la IA)")</f>
        <v/>
      </c>
    </row>
    <row r="9">
      <c r="A9" s="15" t="inlineStr">
        <is>
          <t xml:space="preserve">  · descartadas</t>
        </is>
      </c>
      <c r="B9" s="14">
        <f>COUNTIF('1. Fuentes'!N5:N97,"Descartada")</f>
        <v/>
      </c>
    </row>
    <row r="10">
      <c r="A10" s="13" t="inlineStr">
        <is>
          <t>Fuentes con licencia «no declara» o vacía</t>
        </is>
      </c>
      <c r="B10" s="14">
        <f>COUNTIF('1. Fuentes'!H5:H97,"no declara")+COUNTIFS('1. Fuentes'!A5:A97,"&lt;&gt;",'1. Fuentes'!H5:H97,"")</f>
        <v/>
      </c>
    </row>
    <row r="11">
      <c r="A11" s="13" t="inlineStr">
        <is>
          <t>Fuentes con personas identificables o texto libre</t>
        </is>
      </c>
      <c r="B11" s="14">
        <f>COUNTIF('1. Fuentes'!I5:I97,"Personas identificables")+COUNTIF('1. Fuentes'!I5:I97,"Texto libre sin revisar")</f>
        <v/>
      </c>
    </row>
    <row r="12">
      <c r="A12" s="13" t="inlineStr">
        <is>
          <t>Campos en el diccionario</t>
        </is>
      </c>
      <c r="B12" s="14">
        <f>COUNTA('2. Diccionario'!C5:C116)</f>
        <v/>
      </c>
    </row>
    <row r="13">
      <c r="A13" s="15" t="inlineStr">
        <is>
          <t xml:space="preserve">  · clasificados como sensibles o dato personal</t>
        </is>
      </c>
      <c r="B13" s="14">
        <f>COUNTIF('2. Diccionario'!K5:K116,"Sensible")+COUNTIF('2. Diccionario'!K5:K116,"Dato personal")</f>
        <v/>
      </c>
    </row>
    <row r="14">
      <c r="A14" s="15" t="inlineStr">
        <is>
          <t xml:space="preserve">  · sin pregunta del sistema asociada</t>
        </is>
      </c>
      <c r="B14" s="14">
        <f>COUNTIFS('2. Diccionario'!C5:C116,"&lt;&gt;",'2. Diccionario'!M5:M116,"")</f>
        <v/>
      </c>
    </row>
    <row r="15">
      <c r="A15" s="13" t="inlineStr">
        <is>
          <t>Encargos a la IA registrados</t>
        </is>
      </c>
      <c r="B15" s="14">
        <f>COUNTA('3. Bitácora IA'!C5:C96)</f>
        <v/>
      </c>
    </row>
    <row r="16">
      <c r="A16" s="15" t="inlineStr">
        <is>
          <t>· con resultado parcial</t>
        </is>
      </c>
      <c r="B16" s="14">
        <f>COUNTIF('3. Bitácora IA'!F5:F96,"Parcial")</f>
        <v/>
      </c>
    </row>
    <row r="17">
      <c r="A17" s="13" t="inlineStr">
        <is>
          <t>Porcentaje de encargos completos</t>
        </is>
      </c>
      <c r="B17" s="16">
        <f>IF(B15=0,"-",COUNTIF('3. Bitácora IA'!F5:F96,"Completo")/B15)</f>
        <v/>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2" customWidth="1" min="1" max="1"/>
    <col width="60" customWidth="1" min="2" max="2"/>
    <col width="50" customWidth="1" min="3" max="3"/>
    <col width="80" customWidth="1" min="4" max="4"/>
  </cols>
  <sheetData>
    <row r="1">
      <c r="A1" s="17" t="inlineStr">
        <is>
          <t>Fuente</t>
        </is>
      </c>
      <c r="B1" s="17" t="inlineStr">
        <is>
          <t>Campos del archivo de origen</t>
        </is>
      </c>
      <c r="C1" s="17" t="inlineStr">
        <is>
          <t>¿Los trae la fuente?</t>
        </is>
      </c>
      <c r="D1" s="17" t="inlineStr">
        <is>
          <t>¿Llegan al lago o a la app?</t>
        </is>
      </c>
    </row>
    <row r="2">
      <c r="A2" s="18" t="inlineStr">
        <is>
          <t>SISC (F020–F027)</t>
        </is>
      </c>
      <c r="B2" s="18" t="inlineStr">
        <is>
          <t>fecha_hecho, cantidad</t>
        </is>
      </c>
      <c r="C2" s="18" t="inlineStr">
        <is>
          <t>Sí: fecha y hora del hecho</t>
        </is>
      </c>
      <c r="D2" s="18" t="inlineStr">
        <is>
          <t>Solo el año, en conteos</t>
        </is>
      </c>
    </row>
    <row r="3">
      <c r="A3" s="18" t="inlineStr">
        <is>
          <t>SISC (F020–F027)</t>
        </is>
      </c>
      <c r="B3" s="18" t="inlineStr">
        <is>
          <t>latitud, longitud</t>
        </is>
      </c>
      <c r="C3" s="18" t="inlineStr">
        <is>
          <t>Sí: coordenadas de cada evento</t>
        </is>
      </c>
      <c r="D3" s="18" t="inlineStr">
        <is>
          <t>No: sirven para ubicar el evento en su comuna y su barrio, y se descartan</t>
        </is>
      </c>
    </row>
    <row r="4">
      <c r="A4" s="18" t="inlineStr">
        <is>
          <t>SISC (F020–F027)</t>
        </is>
      </c>
      <c r="B4" s="18" t="inlineStr">
        <is>
          <t>codigo_comuna, codigo_barrio, nombre_barrio</t>
        </is>
      </c>
      <c r="C4" s="18" t="inlineStr">
        <is>
          <t>Sí</t>
        </is>
      </c>
      <c r="D4" s="18" t="inlineStr">
        <is>
          <t>Agregado: conteos por comuna (un año) y por barrio (tres años, solo si son 5 o más)</t>
        </is>
      </c>
    </row>
    <row r="5">
      <c r="A5" s="18" t="inlineStr">
        <is>
          <t>SISC (F020–F027)</t>
        </is>
      </c>
      <c r="B5" s="18" t="inlineStr">
        <is>
          <t>sexo, edad, estado_civil, ocupacion, discapacidad, grupo_especial, nivel_academico, parentesco</t>
        </is>
      </c>
      <c r="C5" s="18" t="inlineStr">
        <is>
          <t>Sí: datos de la víctima</t>
        </is>
      </c>
      <c r="D5" s="18" t="inlineStr">
        <is>
          <t>No: nunca salen del equipo que procesa el archivo (datos/crudos/ está fuera de git y del despliegue)</t>
        </is>
      </c>
    </row>
    <row r="6">
      <c r="A6" s="18" t="inlineStr">
        <is>
          <t>Víctimas viales (F065)</t>
        </is>
      </c>
      <c r="B6" s="18" t="inlineStr">
        <is>
          <t>Sexo, Edad, Condicion, Direccion_incidente, Radicado, Fecha_incidente, Hora_incidente</t>
        </is>
      </c>
      <c r="C6" s="18" t="inlineStr">
        <is>
          <t>Sí: datos de la víctima y del lugar exacto</t>
        </is>
      </c>
      <c r="D6" s="18" t="inlineStr">
        <is>
          <t>No</t>
        </is>
      </c>
    </row>
    <row r="7">
      <c r="A7" s="18" t="inlineStr">
        <is>
          <t>Víctimas viales (F065)</t>
        </is>
      </c>
      <c r="B7" s="18" t="inlineStr">
        <is>
          <t>Latitud, Longitud, Año, Gravedad_victima</t>
        </is>
      </c>
      <c r="C7" s="18" t="inlineStr">
        <is>
          <t>Sí</t>
        </is>
      </c>
      <c r="D7" s="18" t="inlineStr">
        <is>
          <t>Mapa de calor: el centro de una celda de ~110 m y el año, sin la gravedad. Conteos por comuna.</t>
        </is>
      </c>
    </row>
    <row r="8">
      <c r="A8" s="18" t="inlineStr">
        <is>
          <t>Policía Nacional (F013, F018, F019)</t>
        </is>
      </c>
      <c r="B8" s="18" t="inlineStr">
        <is>
          <t>sexo</t>
        </is>
      </c>
      <c r="C8" s="18" t="inlineStr">
        <is>
          <t>Sí: sexo de la víctima por evento, sin lugar más fino que el municipio</t>
        </is>
      </c>
      <c r="D8" s="18" t="inlineStr">
        <is>
          <t>No: solo se piden sumas por año</t>
        </is>
      </c>
    </row>
    <row r="9">
      <c r="A9" s="18" t="inlineStr">
        <is>
          <t>SECOP II (F040)</t>
        </is>
      </c>
      <c r="B9" s="18" t="inlineStr">
        <is>
          <t>proveedor, tipodocproveedor, documento_proveedor</t>
        </is>
      </c>
      <c r="C9" s="18" t="inlineStr">
        <is>
          <t>Sí: el proveedor puede ser una persona natural</t>
        </is>
      </c>
      <c r="D9" s="18" t="inlineStr">
        <is>
          <t>Solo el nombre de los 10 contratos de mayor valor, que son de empresas; nunca el documento</t>
        </is>
      </c>
    </row>
    <row r="10">
      <c r="A10" s="18" t="inlineStr">
        <is>
          <t>Prensa vía GDELT (F092)</t>
        </is>
      </c>
      <c r="B10" s="18" t="inlineStr">
        <is>
          <t>título, medio, fecha, URL</t>
        </is>
      </c>
      <c r="C10" s="18" t="inlineStr">
        <is>
          <t>Sí: un titular puede nombrar a una persona</t>
        </is>
      </c>
      <c r="D10" s="18" t="inlineStr">
        <is>
          <t>Con filtro: no se publican los titulares que cuentan una muerte, una captura, un ataque o una desaparición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9" customWidth="1" min="1" max="1"/>
    <col width="16" customWidth="1" min="2" max="2"/>
    <col width="120" customWidth="1" min="3" max="3"/>
  </cols>
  <sheetData>
    <row r="1">
      <c r="A1" s="17" t="inlineStr">
        <is>
          <t>ID</t>
        </is>
      </c>
      <c r="B1" s="17" t="inlineStr">
        <is>
          <t>Hoja</t>
        </is>
      </c>
      <c r="C1" s="17" t="inlineStr">
        <is>
          <t>Cambio</t>
        </is>
      </c>
    </row>
    <row r="2">
      <c r="A2" s="18" t="inlineStr">
        <is>
          <t>F001</t>
        </is>
      </c>
      <c r="B2" s="18" t="inlineStr">
        <is>
          <t>1. Fuentes</t>
        </is>
      </c>
      <c r="C2" s="18" t="inlineStr">
        <is>
          <t>Licencia: «no declara» → «Se autoriza el uso, aprovechamiento, transformación y análisis de la información contenida en esta portal, siempre y cua»</t>
        </is>
      </c>
    </row>
    <row r="3">
      <c r="A3" s="18" t="inlineStr">
        <is>
          <t>F002</t>
        </is>
      </c>
      <c r="B3" s="18" t="inlineStr">
        <is>
          <t>1. Fuentes</t>
        </is>
      </c>
      <c r="C3" s="18" t="inlineStr">
        <is>
          <t>Licencia: «no declara» → «Se autoriza el uso, aprovechamiento, transformación y análisis de la información contenida en esta portal, siempre y cua»</t>
        </is>
      </c>
    </row>
    <row r="4">
      <c r="A4" s="18" t="inlineStr">
        <is>
          <t>F007</t>
        </is>
      </c>
      <c r="B4" s="18" t="inlineStr">
        <is>
          <t>1. Fuentes</t>
        </is>
      </c>
      <c r="C4" s="18" t="inlineStr">
        <is>
          <t>Licencia: «no declara» → «Se autoriza el uso, aprovechamiento, transformación y análisis de la información contenida en esta portal, siempre y cua»</t>
        </is>
      </c>
    </row>
    <row r="5">
      <c r="A5" s="18" t="inlineStr">
        <is>
          <t>F009</t>
        </is>
      </c>
      <c r="B5" s="18" t="inlineStr">
        <is>
          <t>1. Fuentes</t>
        </is>
      </c>
      <c r="C5" s="18" t="inlineStr">
        <is>
          <t>Licencia: «no declara» → «Sin verificar: la fuente no respondió al consultarla (No se pudo descargar https://portalidem.metropol.gov.co/server/res»</t>
        </is>
      </c>
    </row>
    <row r="6">
      <c r="A6" s="18" t="inlineStr">
        <is>
          <t>F012</t>
        </is>
      </c>
      <c r="B6" s="18" t="inlineStr">
        <is>
          <t>1. Fuentes</t>
        </is>
      </c>
      <c r="C6" s="18" t="inlineStr">
        <is>
          <t>Licencia: «Creative Commons Attribution | Share Alike 4.0 International (CC BY-SA 4.0)» → «Creative Commons Attribution | Share Alike 4.0 International»</t>
        </is>
      </c>
    </row>
    <row r="7">
      <c r="A7" s="18" t="inlineStr">
        <is>
          <t>F013</t>
        </is>
      </c>
      <c r="B7" s="18" t="inlineStr">
        <is>
          <t>1. Fuentes</t>
        </is>
      </c>
      <c r="C7" s="18" t="inlineStr">
        <is>
          <t>Licencia: «Creative Commons Attribution | Share Alike 4.0 International (CC BY-SA 4.0)» → «Creative Commons Attribution | Share Alike 4.0 International»</t>
        </is>
      </c>
    </row>
    <row r="8">
      <c r="A8" s="18" t="inlineStr">
        <is>
          <t>F014</t>
        </is>
      </c>
      <c r="B8" s="18" t="inlineStr">
        <is>
          <t>1. Fuentes</t>
        </is>
      </c>
      <c r="C8" s="18" t="inlineStr">
        <is>
          <t>Licencia: «Creative Commons Attribution | Share Alike 4.0 International (CC BY-SA 4.0)» → «Creative Commons Attribution | Share Alike 4.0 International»</t>
        </is>
      </c>
    </row>
    <row r="9">
      <c r="A9" s="18" t="inlineStr">
        <is>
          <t>F015</t>
        </is>
      </c>
      <c r="B9" s="18" t="inlineStr">
        <is>
          <t>1. Fuentes</t>
        </is>
      </c>
      <c r="C9" s="18" t="inlineStr">
        <is>
          <t>Licencia: «Creative Commons Attribution | Share Alike 4.0 International (CC BY-SA 4.0)» → «Creative Commons Attribution | Share Alike 4.0 International»</t>
        </is>
      </c>
    </row>
    <row r="10">
      <c r="A10" s="18" t="inlineStr">
        <is>
          <t>F016</t>
        </is>
      </c>
      <c r="B10" s="18" t="inlineStr">
        <is>
          <t>1. Fuentes</t>
        </is>
      </c>
      <c r="C10" s="18" t="inlineStr">
        <is>
          <t>Licencia: «Creative Commons Attribution | Share Alike 4.0 International (CC BY-SA 4.0)» → «Creative Commons Attribution | Share Alike 4.0 International»</t>
        </is>
      </c>
    </row>
    <row r="11">
      <c r="A11" s="18" t="inlineStr">
        <is>
          <t>F017</t>
        </is>
      </c>
      <c r="B11" s="18" t="inlineStr">
        <is>
          <t>1. Fuentes</t>
        </is>
      </c>
      <c r="C11" s="18" t="inlineStr">
        <is>
          <t>Licencia: «Creative Commons Attribution | Share Alike 4.0 International (CC BY-SA 4.0)» → «Creative Commons Attribution | Share Alike 4.0 International»</t>
        </is>
      </c>
    </row>
    <row r="12">
      <c r="A12" s="18" t="inlineStr">
        <is>
          <t>F018</t>
        </is>
      </c>
      <c r="B12" s="18" t="inlineStr">
        <is>
          <t>1. Fuentes</t>
        </is>
      </c>
      <c r="C12" s="18" t="inlineStr">
        <is>
          <t>Licencia: «Creative Commons Attribution | Share Alike 4.0 International (CC BY-SA 4.0)» → «Creative Commons Attribution | Share Alike 4.0 International»</t>
        </is>
      </c>
    </row>
    <row r="13">
      <c r="A13" s="18" t="inlineStr">
        <is>
          <t>F019</t>
        </is>
      </c>
      <c r="B13" s="18" t="inlineStr">
        <is>
          <t>1. Fuentes</t>
        </is>
      </c>
      <c r="C13" s="18" t="inlineStr">
        <is>
          <t>Licencia: «Creative Commons Attribution | Share Alike 4.0 International (CC BY-SA 4.0)» → «Creative Commons Attribution | Share Alike 4.0 International»</t>
        </is>
      </c>
    </row>
    <row r="14">
      <c r="A14" s="18" t="inlineStr">
        <is>
          <t>F020</t>
        </is>
      </c>
      <c r="B14" s="18" t="inlineStr">
        <is>
          <t>1. Fuentes</t>
        </is>
      </c>
      <c r="C14" s="18" t="inlineStr">
        <is>
          <t>Licencia: «no declara» → «Atribución 4.0 Internacional (CC BY 4.0)»</t>
        </is>
      </c>
    </row>
    <row r="15">
      <c r="A15" s="18" t="inlineStr">
        <is>
          <t>F020</t>
        </is>
      </c>
      <c r="B15" s="18" t="inlineStr">
        <is>
          <t>1. Fuentes</t>
        </is>
      </c>
      <c r="C15" s="18" t="inlineStr">
        <is>
          <t>¿Trae datos de personas?: «Solo conteos por zona» → «Personas identificables» (la columna describe la fuente, no el lago)</t>
        </is>
      </c>
    </row>
    <row r="16">
      <c r="A16" s="18" t="inlineStr">
        <is>
          <t>F021</t>
        </is>
      </c>
      <c r="B16" s="18" t="inlineStr">
        <is>
          <t>1. Fuentes</t>
        </is>
      </c>
      <c r="C16" s="18" t="inlineStr">
        <is>
          <t>Licencia: «no declara» → «Atribución 4.0 Internacional (CC BY 4.0)»</t>
        </is>
      </c>
    </row>
    <row r="17">
      <c r="A17" s="18" t="inlineStr">
        <is>
          <t>F021</t>
        </is>
      </c>
      <c r="B17" s="18" t="inlineStr">
        <is>
          <t>1. Fuentes</t>
        </is>
      </c>
      <c r="C17" s="18" t="inlineStr">
        <is>
          <t>¿Trae datos de personas?: «Solo conteos por zona» → «Personas identificables» (la columna describe la fuente, no el lago)</t>
        </is>
      </c>
    </row>
    <row r="18">
      <c r="A18" s="18" t="inlineStr">
        <is>
          <t>F022</t>
        </is>
      </c>
      <c r="B18" s="18" t="inlineStr">
        <is>
          <t>1. Fuentes</t>
        </is>
      </c>
      <c r="C18" s="18" t="inlineStr">
        <is>
          <t>Licencia: «no declara» → «Atribución 4.0 Internacional (CC BY 4.0)»</t>
        </is>
      </c>
    </row>
    <row r="19">
      <c r="A19" s="18" t="inlineStr">
        <is>
          <t>F022</t>
        </is>
      </c>
      <c r="B19" s="18" t="inlineStr">
        <is>
          <t>1. Fuentes</t>
        </is>
      </c>
      <c r="C19" s="18" t="inlineStr">
        <is>
          <t>¿Trae datos de personas?: «Solo conteos por zona» → «Personas identificables» (la columna describe la fuente, no el lago)</t>
        </is>
      </c>
    </row>
    <row r="20">
      <c r="A20" s="18" t="inlineStr">
        <is>
          <t>F023</t>
        </is>
      </c>
      <c r="B20" s="18" t="inlineStr">
        <is>
          <t>1. Fuentes</t>
        </is>
      </c>
      <c r="C20" s="18" t="inlineStr">
        <is>
          <t>Licencia: «no declara» → «Atribución 4.0 Internacional (CC BY 4.0)»</t>
        </is>
      </c>
    </row>
    <row r="21">
      <c r="A21" s="18" t="inlineStr">
        <is>
          <t>F023</t>
        </is>
      </c>
      <c r="B21" s="18" t="inlineStr">
        <is>
          <t>1. Fuentes</t>
        </is>
      </c>
      <c r="C21" s="18" t="inlineStr">
        <is>
          <t>¿Trae datos de personas?: «Solo conteos por zona» → «Personas identificables» (la columna describe la fuente, no el lago)</t>
        </is>
      </c>
    </row>
    <row r="22">
      <c r="A22" s="18" t="inlineStr">
        <is>
          <t>F024</t>
        </is>
      </c>
      <c r="B22" s="18" t="inlineStr">
        <is>
          <t>1. Fuentes</t>
        </is>
      </c>
      <c r="C22" s="18" t="inlineStr">
        <is>
          <t>Licencia: «no declara» → «Atribución 4.0 Internacional (CC BY 4.0)»</t>
        </is>
      </c>
    </row>
    <row r="23">
      <c r="A23" s="18" t="inlineStr">
        <is>
          <t>F024</t>
        </is>
      </c>
      <c r="B23" s="18" t="inlineStr">
        <is>
          <t>1. Fuentes</t>
        </is>
      </c>
      <c r="C23" s="18" t="inlineStr">
        <is>
          <t>¿Trae datos de personas?: «Solo conteos por zona» → «Personas identificables» (la columna describe la fuente, no el lago)</t>
        </is>
      </c>
    </row>
    <row r="24">
      <c r="A24" s="18" t="inlineStr">
        <is>
          <t>F025</t>
        </is>
      </c>
      <c r="B24" s="18" t="inlineStr">
        <is>
          <t>1. Fuentes</t>
        </is>
      </c>
      <c r="C24" s="18" t="inlineStr">
        <is>
          <t>Licencia: «no declara» → «Atribución 4.0 Internacional (CC BY 4.0)»</t>
        </is>
      </c>
    </row>
    <row r="25">
      <c r="A25" s="18" t="inlineStr">
        <is>
          <t>F025</t>
        </is>
      </c>
      <c r="B25" s="18" t="inlineStr">
        <is>
          <t>1. Fuentes</t>
        </is>
      </c>
      <c r="C25" s="18" t="inlineStr">
        <is>
          <t>¿Trae datos de personas?: «Solo conteos por zona» → «Personas identificables» (la columna describe la fuente, no el lago)</t>
        </is>
      </c>
    </row>
    <row r="26">
      <c r="A26" s="18" t="inlineStr">
        <is>
          <t>F026</t>
        </is>
      </c>
      <c r="B26" s="18" t="inlineStr">
        <is>
          <t>1. Fuentes</t>
        </is>
      </c>
      <c r="C26" s="18" t="inlineStr">
        <is>
          <t>Licencia: «no declara» → «Atribución 4.0 Internacional (CC BY 4.0)»</t>
        </is>
      </c>
    </row>
    <row r="27">
      <c r="A27" s="18" t="inlineStr">
        <is>
          <t>F026</t>
        </is>
      </c>
      <c r="B27" s="18" t="inlineStr">
        <is>
          <t>1. Fuentes</t>
        </is>
      </c>
      <c r="C27" s="18" t="inlineStr">
        <is>
          <t>¿Trae datos de personas?: «Solo conteos por zona» → «Personas identificables» (la columna describe la fuente, no el lago)</t>
        </is>
      </c>
    </row>
    <row r="28">
      <c r="A28" s="18" t="inlineStr">
        <is>
          <t>F027</t>
        </is>
      </c>
      <c r="B28" s="18" t="inlineStr">
        <is>
          <t>1. Fuentes</t>
        </is>
      </c>
      <c r="C28" s="18" t="inlineStr">
        <is>
          <t>Licencia: «no declara» → «Atribución 4.0 Internacional (CC BY 4.0)»</t>
        </is>
      </c>
    </row>
    <row r="29">
      <c r="A29" s="18" t="inlineStr">
        <is>
          <t>F027</t>
        </is>
      </c>
      <c r="B29" s="18" t="inlineStr">
        <is>
          <t>1. Fuentes</t>
        </is>
      </c>
      <c r="C29" s="18" t="inlineStr">
        <is>
          <t>¿Trae datos de personas?: «Solo conteos por zona» → «Personas identificables» (la columna describe la fuente, no el lago)</t>
        </is>
      </c>
    </row>
    <row r="30">
      <c r="A30" s="18" t="inlineStr">
        <is>
          <t>F028</t>
        </is>
      </c>
      <c r="B30" s="18" t="inlineStr">
        <is>
          <t>1. Fuentes</t>
        </is>
      </c>
      <c r="C30" s="18" t="inlineStr">
        <is>
          <t>Licencia: «Creative Commons Attribution | Share Alike 4.0 International (CC BY-SA 4.0)» → «Creative Commons Attribution | Share Alike 4.0 International»</t>
        </is>
      </c>
    </row>
    <row r="31">
      <c r="A31" s="18" t="inlineStr">
        <is>
          <t>F029</t>
        </is>
      </c>
      <c r="B31" s="18" t="inlineStr">
        <is>
          <t>1. Fuentes</t>
        </is>
      </c>
      <c r="C31" s="18" t="inlineStr">
        <is>
          <t>Licencia: «Creative Commons Attribution | Share Alike 4.0 International (CC BY-SA 4.0)» → «Creative Commons Attribution | Share Alike 4.0 International»</t>
        </is>
      </c>
    </row>
    <row r="32">
      <c r="A32" s="18" t="inlineStr">
        <is>
          <t>F030</t>
        </is>
      </c>
      <c r="B32" s="18" t="inlineStr">
        <is>
          <t>1. Fuentes</t>
        </is>
      </c>
      <c r="C32" s="18" t="inlineStr">
        <is>
          <t>Licencia: «no declara» → «Atribución 4.0 Internacional (CC BY 4.0)»</t>
        </is>
      </c>
    </row>
    <row r="33">
      <c r="A33" s="18" t="inlineStr">
        <is>
          <t>F031</t>
        </is>
      </c>
      <c r="B33" s="18" t="inlineStr">
        <is>
          <t>1. Fuentes</t>
        </is>
      </c>
      <c r="C33" s="18" t="inlineStr">
        <is>
          <t>Licencia: «no declara» → «Atribución 4.0 Internacional (CC BY 4.0)»</t>
        </is>
      </c>
    </row>
    <row r="34">
      <c r="A34" s="18" t="inlineStr">
        <is>
          <t>F032</t>
        </is>
      </c>
      <c r="B34" s="18" t="inlineStr">
        <is>
          <t>1. Fuentes</t>
        </is>
      </c>
      <c r="C34" s="18" t="inlineStr">
        <is>
          <t>Licencia: «no declara» → «Atribución 4.0 Internacional (CC BY 4.0)»</t>
        </is>
      </c>
    </row>
    <row r="35">
      <c r="A35" s="18" t="inlineStr">
        <is>
          <t>F034</t>
        </is>
      </c>
      <c r="B35" s="18" t="inlineStr">
        <is>
          <t>1. Fuentes</t>
        </is>
      </c>
      <c r="C35" s="18" t="inlineStr">
        <is>
          <t>Licencia: «ODbL 1.0 (Open Database License)» → «OpenStreetMap es un sistema de datos abiertos, licenciado bajo la Licencia de Base de Datos Abierta de Open Data Commons»</t>
        </is>
      </c>
    </row>
    <row r="36">
      <c r="A36" s="18" t="inlineStr">
        <is>
          <t>F035</t>
        </is>
      </c>
      <c r="B36" s="18" t="inlineStr">
        <is>
          <t>1. Fuentes</t>
        </is>
      </c>
      <c r="C36" s="18" t="inlineStr">
        <is>
          <t>Licencia: «Creative Commons Attribution | Share Alike 4.0 International (CC BY-SA 4.0)» → «Creative Commons Attribution | Share Alike 4.0 International»</t>
        </is>
      </c>
    </row>
    <row r="37">
      <c r="A37" s="18" t="inlineStr">
        <is>
          <t>F036</t>
        </is>
      </c>
      <c r="B37" s="18" t="inlineStr">
        <is>
          <t>1. Fuentes</t>
        </is>
      </c>
      <c r="C37" s="18" t="inlineStr">
        <is>
          <t>Licencia: «Creative Commons Attribution | Share Alike 4.0 International (CC BY-SA 4.0)» → «Creative Commons Attribution | Share Alike 4.0 International»</t>
        </is>
      </c>
    </row>
    <row r="38">
      <c r="A38" s="18" t="inlineStr">
        <is>
          <t>F037</t>
        </is>
      </c>
      <c r="B38" s="18" t="inlineStr">
        <is>
          <t>1. Fuentes</t>
        </is>
      </c>
      <c r="C38" s="18" t="inlineStr">
        <is>
          <t>Licencia: «Creative Commons Attribution | Share Alike 4.0 International (CC BY-SA 4.0)» → «Creative Commons Attribution | Share Alike 4.0 International»</t>
        </is>
      </c>
    </row>
    <row r="39">
      <c r="A39" s="18" t="inlineStr">
        <is>
          <t>F038</t>
        </is>
      </c>
      <c r="B39" s="18" t="inlineStr">
        <is>
          <t>1. Fuentes</t>
        </is>
      </c>
      <c r="C39" s="18" t="inlineStr">
        <is>
          <t>Licencia: «Creative Commons Attribution | Share Alike 4.0 International (CC BY-SA 4.0)» → «Creative Commons Attribution | Share Alike 4.0 International»</t>
        </is>
      </c>
    </row>
    <row r="40">
      <c r="A40" s="18" t="inlineStr">
        <is>
          <t>F040</t>
        </is>
      </c>
      <c r="B40" s="18" t="inlineStr">
        <is>
          <t>1. Fuentes</t>
        </is>
      </c>
      <c r="C40" s="18" t="inlineStr">
        <is>
          <t>Licencia: «Creative Commons Attribution | Share Alike 4.0 International (CC BY-SA 4.0)» → «Creative Commons Attribution | Share Alike 4.0 International»</t>
        </is>
      </c>
    </row>
    <row r="41">
      <c r="A41" s="18" t="inlineStr">
        <is>
          <t>F041</t>
        </is>
      </c>
      <c r="B41" s="18" t="inlineStr">
        <is>
          <t>1. Fuentes</t>
        </is>
      </c>
      <c r="C41" s="18" t="inlineStr">
        <is>
          <t>Licencia: «no declara» → «Atribución 4.0 Internacional (CC BY 4.0)»</t>
        </is>
      </c>
    </row>
    <row r="42">
      <c r="A42" s="18" t="inlineStr">
        <is>
          <t>F042</t>
        </is>
      </c>
      <c r="B42" s="18" t="inlineStr">
        <is>
          <t>1. Fuentes</t>
        </is>
      </c>
      <c r="C42" s="18" t="inlineStr">
        <is>
          <t>Licencia: «no declara» → «Atribución 4.0 Internacional (CC BY 4.0)»</t>
        </is>
      </c>
    </row>
    <row r="43">
      <c r="A43" s="18" t="inlineStr">
        <is>
          <t>F043</t>
        </is>
      </c>
      <c r="B43" s="18" t="inlineStr">
        <is>
          <t>1. Fuentes</t>
        </is>
      </c>
      <c r="C43" s="18" t="inlineStr">
        <is>
          <t>Licencia: «no declara» → «Atribución 4.0 Internacional (CC BY 4.0)»</t>
        </is>
      </c>
    </row>
    <row r="44">
      <c r="A44" s="18" t="inlineStr">
        <is>
          <t>F044</t>
        </is>
      </c>
      <c r="B44" s="18" t="inlineStr">
        <is>
          <t>1. Fuentes</t>
        </is>
      </c>
      <c r="C44" s="18" t="inlineStr">
        <is>
          <t>Licencia: «no declara» → «Atribución 4.0 Internacional (CC BY 4.0)»</t>
        </is>
      </c>
    </row>
    <row r="45">
      <c r="A45" s="18" t="inlineStr">
        <is>
          <t>F045</t>
        </is>
      </c>
      <c r="B45" s="18" t="inlineStr">
        <is>
          <t>1. Fuentes</t>
        </is>
      </c>
      <c r="C45" s="18" t="inlineStr">
        <is>
          <t>Licencia: «no declara» → «Atribución 4.0 Internacional (CC BY 4.0)»</t>
        </is>
      </c>
    </row>
    <row r="46">
      <c r="A46" s="18" t="inlineStr">
        <is>
          <t>F046</t>
        </is>
      </c>
      <c r="B46" s="18" t="inlineStr">
        <is>
          <t>1. Fuentes</t>
        </is>
      </c>
      <c r="C46" s="18" t="inlineStr">
        <is>
          <t>Licencia: «no declara» → «Atribución 4.0 Internacional (CC BY 4.0)»</t>
        </is>
      </c>
    </row>
    <row r="47">
      <c r="A47" s="18" t="inlineStr">
        <is>
          <t>F047</t>
        </is>
      </c>
      <c r="B47" s="18" t="inlineStr">
        <is>
          <t>1. Fuentes</t>
        </is>
      </c>
      <c r="C47" s="18" t="inlineStr">
        <is>
          <t>Licencia: «no declara» → «Atribución 4.0 Internacional (CC BY 4.0)»</t>
        </is>
      </c>
    </row>
    <row r="48">
      <c r="A48" s="18" t="inlineStr">
        <is>
          <t>F048</t>
        </is>
      </c>
      <c r="B48" s="18" t="inlineStr">
        <is>
          <t>1. Fuentes</t>
        </is>
      </c>
      <c r="C48" s="18" t="inlineStr">
        <is>
          <t>Licencia: «Creative Commons Attribution | Share Alike 4.0 International (CC BY-SA 4.0)» → «Creative Commons Attribution | Share Alike 4.0 International»</t>
        </is>
      </c>
    </row>
    <row r="49">
      <c r="A49" s="18" t="inlineStr">
        <is>
          <t>F049</t>
        </is>
      </c>
      <c r="B49" s="18" t="inlineStr">
        <is>
          <t>1. Fuentes</t>
        </is>
      </c>
      <c r="C49" s="18" t="inlineStr">
        <is>
          <t>Licencia: «Creative Commons Attribution | Share Alike 4.0 International (CC BY-SA 4.0)» → «Creative Commons Attribution | Share Alike 4.0 International»</t>
        </is>
      </c>
    </row>
    <row r="50">
      <c r="A50" s="18" t="inlineStr">
        <is>
          <t>F051</t>
        </is>
      </c>
      <c r="B50" s="18" t="inlineStr">
        <is>
          <t>1. Fuentes</t>
        </is>
      </c>
      <c r="C50" s="18" t="inlineStr">
        <is>
          <t>Licencia: «Creative Commons Attribution | Share Alike 4.0 International (CC BY-SA 4.0)» → «Creative Commons Attribution | Share Alike 4.0 International»</t>
        </is>
      </c>
    </row>
    <row r="51">
      <c r="A51" s="18" t="inlineStr">
        <is>
          <t>F052</t>
        </is>
      </c>
      <c r="B51" s="18" t="inlineStr">
        <is>
          <t>1. Fuentes</t>
        </is>
      </c>
      <c r="C51" s="18" t="inlineStr">
        <is>
          <t>Licencia: «no declara» → «Atribución 4.0 Internacional (CC BY 4.0)»</t>
        </is>
      </c>
    </row>
    <row r="52">
      <c r="A52" s="18" t="inlineStr">
        <is>
          <t>F056</t>
        </is>
      </c>
      <c r="B52" s="18" t="inlineStr">
        <is>
          <t>1. Fuentes</t>
        </is>
      </c>
      <c r="C52" s="18" t="inlineStr">
        <is>
          <t>Licencia: «no declara» → «Sin verificar: la fuente no respondió al consultarla (No se pudo descargar https://portalidem.metropol.gov.co/server/res»</t>
        </is>
      </c>
    </row>
    <row r="53">
      <c r="A53" s="18" t="inlineStr">
        <is>
          <t>F057</t>
        </is>
      </c>
      <c r="B53" s="18" t="inlineStr">
        <is>
          <t>1. Fuentes</t>
        </is>
      </c>
      <c r="C53" s="18" t="inlineStr">
        <is>
          <t>Licencia: «no declara» → «Sin verificar: la fuente no respondió al consultarla (No se pudo descargar https://portalidem.metropol.gov.co/server/res»</t>
        </is>
      </c>
    </row>
    <row r="54">
      <c r="A54" s="18" t="inlineStr">
        <is>
          <t>F058</t>
        </is>
      </c>
      <c r="B54" s="18" t="inlineStr">
        <is>
          <t>1. Fuentes</t>
        </is>
      </c>
      <c r="C54" s="18" t="inlineStr">
        <is>
          <t>Licencia: «no declara» → «Sin verificar: la fuente no respondió al consultarla (No se pudo descargar https://portalidem.metropol.gov.co/server/res»</t>
        </is>
      </c>
    </row>
    <row r="55">
      <c r="A55" s="18" t="inlineStr">
        <is>
          <t>F060</t>
        </is>
      </c>
      <c r="B55" s="18" t="inlineStr">
        <is>
          <t>1. Fuentes</t>
        </is>
      </c>
      <c r="C55" s="18" t="inlineStr">
        <is>
          <t>Licencia: «Propietaria: términos de uso de Esri y proveedores (Maxar, Earthstar)» → «This work is licensed under the Esri Master License Agreement.»</t>
        </is>
      </c>
    </row>
    <row r="56">
      <c r="A56" s="18" t="inlineStr">
        <is>
          <t>F061</t>
        </is>
      </c>
      <c r="B56" s="18" t="inlineStr">
        <is>
          <t>1. Fuentes</t>
        </is>
      </c>
      <c r="C56" s="18" t="inlineStr">
        <is>
          <t>Licencia: «Mixta: datos abiertos de varias fuentes (SRTM, NED, etc.), atribuir a Mapzen» → «License: https://github.com/tilezen/joerd/blob/master/docs/attribution.md (campo «License» del registro de AWS Open Data»</t>
        </is>
      </c>
    </row>
    <row r="57">
      <c r="A57" s="18" t="inlineStr">
        <is>
          <t>F062</t>
        </is>
      </c>
      <c r="B57" s="18" t="inlineStr">
        <is>
          <t>1. Fuentes</t>
        </is>
      </c>
      <c r="C57" s="18" t="inlineStr">
        <is>
          <t>Licencia: «ODbL 1.0 (datos OpenStreetMap) y BSD / CC BY 4.0 (esquema OpenMapTiles)» → «The license of this project is MIT. Map data is from OpenStreetMap.»</t>
        </is>
      </c>
    </row>
    <row r="58">
      <c r="A58" s="18" t="inlineStr">
        <is>
          <t>F063</t>
        </is>
      </c>
      <c r="B58" s="18" t="inlineStr">
        <is>
          <t>1. Fuentes</t>
        </is>
      </c>
      <c r="C58" s="18" t="inlineStr">
        <is>
          <t>Licencia: «no declara» → «Sin verificar: la fuente no respondió al consultarla (No se pudo descargar https://portalidem.metropol.gov.co/server/res»</t>
        </is>
      </c>
    </row>
    <row r="59">
      <c r="A59" s="18" t="inlineStr">
        <is>
          <t>F064</t>
        </is>
      </c>
      <c r="B59" s="18" t="inlineStr">
        <is>
          <t>1. Fuentes</t>
        </is>
      </c>
      <c r="C59" s="18" t="inlineStr">
        <is>
          <t>Licencia: «no declara» → «Sin verificar: la fuente no respondió al consultarla (No se pudo descargar https://portalidem.metropol.gov.co/server/res»</t>
        </is>
      </c>
    </row>
    <row r="60">
      <c r="A60" s="18" t="inlineStr">
        <is>
          <t>F065</t>
        </is>
      </c>
      <c r="B60" s="18" t="inlineStr">
        <is>
          <t>1. Fuentes</t>
        </is>
      </c>
      <c r="C60" s="18" t="inlineStr">
        <is>
          <t>Licencia: «no declara» → «Atribución 4.0 Internacional (CC BY 4.0)»</t>
        </is>
      </c>
    </row>
    <row r="61">
      <c r="A61" s="18" t="inlineStr">
        <is>
          <t>F065</t>
        </is>
      </c>
      <c r="B61" s="18" t="inlineStr">
        <is>
          <t>1. Fuentes</t>
        </is>
      </c>
      <c r="C61" s="18" t="inlineStr">
        <is>
          <t>¿Trae datos de personas?: «Solo conteos por zona» → «Personas identificables» (la columna describe la fuente, no el lago)</t>
        </is>
      </c>
    </row>
    <row r="62">
      <c r="A62" s="18" t="inlineStr">
        <is>
          <t>F066</t>
        </is>
      </c>
      <c r="B62" s="18" t="inlineStr">
        <is>
          <t>1. Fuentes</t>
        </is>
      </c>
      <c r="C62" s="18" t="inlineStr">
        <is>
          <t>Licencia: «no declara» → «Atribución 4.0 Internacional (CC BY 4.0)»</t>
        </is>
      </c>
    </row>
    <row r="63">
      <c r="A63" s="18" t="inlineStr">
        <is>
          <t>F067</t>
        </is>
      </c>
      <c r="B63" s="18" t="inlineStr">
        <is>
          <t>1. Fuentes</t>
        </is>
      </c>
      <c r="C63" s="18" t="inlineStr">
        <is>
          <t>Licencia: «no declara» → «Sin verificar: la fuente no respondió al consultarla (No se pudo descargar https://portalidem.metropol.gov.co/server/res»</t>
        </is>
      </c>
    </row>
    <row r="64">
      <c r="A64" s="18" t="inlineStr">
        <is>
          <t>F069</t>
        </is>
      </c>
      <c r="B64" s="18" t="inlineStr">
        <is>
          <t>1. Fuentes</t>
        </is>
      </c>
      <c r="C64" s="18" t="inlineStr">
        <is>
          <t>Licencia: «no declara» → «Sin verificar: la fuente no respondió al consultarla (No se pudo descargar https://portalidem.metropol.gov.co/server/res»</t>
        </is>
      </c>
    </row>
    <row r="65">
      <c r="A65" s="18" t="inlineStr">
        <is>
          <t>F077</t>
        </is>
      </c>
      <c r="B65" s="18" t="inlineStr">
        <is>
          <t>1. Fuentes</t>
        </is>
      </c>
      <c r="C65" s="18" t="inlineStr">
        <is>
          <t>Licencia: «no declara» → «Sin verificar: la fuente no respondió al consultarla (No se pudo descargar https://portalidem.metropol.gov.co/server/res»</t>
        </is>
      </c>
    </row>
    <row r="66">
      <c r="A66" s="18" t="inlineStr">
        <is>
          <t>F086</t>
        </is>
      </c>
      <c r="B66" s="18" t="inlineStr">
        <is>
          <t>1. Fuentes</t>
        </is>
      </c>
      <c r="C66" s="18" t="inlineStr">
        <is>
          <t>Licencia: «Dominio público (USGS)» → «USGS-authored or produced data and information are considered to be in the U.S. Public Domain.»</t>
        </is>
      </c>
    </row>
    <row r="67">
      <c r="A67" s="18" t="inlineStr">
        <is>
          <t>F093</t>
        </is>
      </c>
      <c r="B67" s="18" t="inlineStr">
        <is>
          <t>1. Fuentes</t>
        </is>
      </c>
      <c r="C67" s="18" t="inlineStr">
        <is>
          <t>Fuente agregada: estaba en la app y no en el Excel de la entrega 1</t>
        </is>
      </c>
    </row>
    <row r="68">
      <c r="A68" s="18" t="inlineStr">
        <is>
          <t>F093</t>
        </is>
      </c>
      <c r="B68" s="18" t="inlineStr">
        <is>
          <t>1. Fuentes</t>
        </is>
      </c>
      <c r="C68" s="18" t="inlineStr">
        <is>
          <t>Licencia: «None» → «API data are offered under Attribution 4.0 International (CC BY 4.0). You may only use the free API services for non-com»</t>
        </is>
      </c>
    </row>
    <row r="69">
      <c r="A69" s="18" t="inlineStr">
        <is>
          <t>F087</t>
        </is>
      </c>
      <c r="B69" s="18" t="inlineStr">
        <is>
          <t>1. Fuentes</t>
        </is>
      </c>
      <c r="C69" s="18" t="inlineStr">
        <is>
          <t>Licencia: «no declara» → «Sin verificar: la fuente no respondió al consultarla (No se pudo descargar https://portalidem.metropol.gov.co/server/res»</t>
        </is>
      </c>
    </row>
    <row r="70">
      <c r="A70" s="18" t="inlineStr">
        <is>
          <t>F088</t>
        </is>
      </c>
      <c r="B70" s="18" t="inlineStr">
        <is>
          <t>1. Fuentes</t>
        </is>
      </c>
      <c r="C70" s="18" t="inlineStr">
        <is>
          <t>Licencia: «Uso abierto sin restricciones (NASA EOSDIS)» → «NASA's free and open data use guidance states that data and information generated under NASA sponsorship are available t»</t>
        </is>
      </c>
    </row>
    <row r="71">
      <c r="A71" s="18" t="inlineStr">
        <is>
          <t>F089</t>
        </is>
      </c>
      <c r="B71" s="18" t="inlineStr">
        <is>
          <t>1. Fuentes</t>
        </is>
      </c>
      <c r="C71" s="18" t="inlineStr">
        <is>
          <t>Licencia: «CC BY-NC-SA 4.0» → «Do you want to use our maps as part of your application? Just feel free to use them. We just ask for a link back to EOX:»</t>
        </is>
      </c>
    </row>
    <row r="72">
      <c r="A72" s="18" t="inlineStr">
        <is>
          <t>F090</t>
        </is>
      </c>
      <c r="B72" s="18" t="inlineStr">
        <is>
          <t>1. Fuentes</t>
        </is>
      </c>
      <c r="C72" s="18" t="inlineStr">
        <is>
          <t>Licencia: «CC0» → «All Analytics datasets are available under the Creative Commons CC0 dedication.»</t>
        </is>
      </c>
    </row>
    <row r="73">
      <c r="A73" s="18" t="inlineStr">
        <is>
          <t>F091</t>
        </is>
      </c>
      <c r="B73" s="18" t="inlineStr">
        <is>
          <t>1. Fuentes</t>
        </is>
      </c>
      <c r="C73" s="18" t="inlineStr">
        <is>
          <t>Licencia: «Uso libre citando a GDELT (sin licencia formal)» → «All datasets released by the GDELT Project are available for unlimited and unrestricted use for any academic, commercial»</t>
        </is>
      </c>
    </row>
    <row r="74">
      <c r="A74" s="18" t="inlineStr">
        <is>
          <t>F092</t>
        </is>
      </c>
      <c r="B74" s="18" t="inlineStr">
        <is>
          <t>1. Fuentes</t>
        </is>
      </c>
      <c r="C74" s="18" t="inlineStr">
        <is>
          <t>Licencia: «Uso libre citando a GDELT (sin licencia formal); los titulares son de cada medio» → «All datasets released by the GDELT Project are available for unlimited and unrestricted use for any academic, commercial»</t>
        </is>
      </c>
    </row>
    <row r="75">
      <c r="A75" s="18" t="inlineStr">
        <is>
          <t>F020</t>
        </is>
      </c>
      <c r="B75" s="18" t="inlineStr">
        <is>
          <t>2. Diccionario</t>
        </is>
      </c>
      <c r="C75" s="18" t="inlineStr">
        <is>
          <t>Campo agregado: lago/seguridad.json · listas.territorios[].valores.sisc_homicidio_tasa</t>
        </is>
      </c>
    </row>
    <row r="76">
      <c r="A76" s="18" t="inlineStr">
        <is>
          <t>F006</t>
        </is>
      </c>
      <c r="B76" s="18" t="inlineStr">
        <is>
          <t>2. Diccionario</t>
        </is>
      </c>
      <c r="C76" s="18" t="inlineStr">
        <is>
          <t>Campo agregado: lago/demografia.json · listas.territorios[].valores.natalidad_tasa</t>
        </is>
      </c>
    </row>
    <row r="77">
      <c r="A77" s="18" t="inlineStr">
        <is>
          <t>F078</t>
        </is>
      </c>
      <c r="B77" s="18" t="inlineStr">
        <is>
          <t>2. Diccionario</t>
        </is>
      </c>
      <c r="C77" s="18" t="inlineStr">
        <is>
          <t>Campo agregado: lago/territorio.json · listas.territorios[].valores.m2_verde_hab</t>
        </is>
      </c>
    </row>
    <row r="78">
      <c r="A78" s="18" t="inlineStr">
        <is>
          <t>F001</t>
        </is>
      </c>
      <c r="B78" s="18" t="inlineStr">
        <is>
          <t>2. Diccionario</t>
        </is>
      </c>
      <c r="C78" s="18" t="inlineStr">
        <is>
          <t>Campo agregado: lago/demografia.json · listas.poblacion_anual_por_territorio[].valores</t>
        </is>
      </c>
    </row>
    <row r="79">
      <c r="A79" s="18" t="inlineStr">
        <is>
          <t>F001</t>
        </is>
      </c>
      <c r="B79" s="18" t="inlineStr">
        <is>
          <t>2. Diccionario</t>
        </is>
      </c>
      <c r="C79" s="18" t="inlineStr">
        <is>
          <t>Campo agregado: lago/catalogo.json · datasets[].codigo · licencia · personas · proteccion</t>
        </is>
      </c>
    </row>
    <row r="80">
      <c r="A80" s="18" t="inlineStr">
        <is>
          <t>F008</t>
        </is>
      </c>
      <c r="B80" s="18" t="inlineStr">
        <is>
          <t>2. Diccionario</t>
        </is>
      </c>
      <c r="C80" s="18" t="inlineStr">
        <is>
          <t>Campo agregado: lago/economia.json · cifras.&lt;clave&gt;.proxy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2026-09-28T11:22:59Z</dcterms:created>
  <dcterms:modified xsi:type="dcterms:W3CDTF">2026-10-25T10:54:57Z</dcterms:modified>
  <cp:revision>10</cp:revision>
</cp:coreProperties>
</file>