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 showHorizontalScroll="1" showVerticalScroll="1"/>
  </bookViews>
  <sheets>
    <sheet name="Instrucciones" sheetId="1" state="visible" r:id="rId1"/>
    <sheet name="1. Fuentes" sheetId="2" state="visible" r:id="rId2"/>
    <sheet name="2. Diccionario" sheetId="3" state="visible" r:id="rId3"/>
    <sheet name="3. Bitácora IA" sheetId="4" state="visible" r:id="rId4"/>
    <sheet name="Resumen" sheetId="5" state="visible" r:id="rId5"/>
  </sheets>
  <calcPr calcMode="auto" fullCalcOnLoad="1" forceFullCalc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<sst xmlns="http://schemas.openxmlformats.org/spreadsheetml/2006/main" count="1387" uniqueCount="1387">
  <si>
    <t xml:space="preserve">Taller de datos · Entrega 1 · El lago y su diccionario</t>
  </si>
  <si>
    <t xml:space="preserve">Tópicos de Sistemas de Información · Profesor Santiago Jiménez Londoño · topicos-si.vercel.app/Tallerdatos</t>
  </si>
  <si>
    <t xml:space="preserve">Datos del grupo</t>
  </si>
  <si>
    <t xml:space="preserve">Ciudad elegida: Medellín</t>
  </si>
  <si>
    <t xml:space="preserve">Integrantes: Juan Jose Restrepo y Samuel Madrid Ossa</t>
  </si>
  <si>
    <t xml:space="preserve">Enlace al repositorio o a la carpeta del lago: https://github.com/jjresher/medellin-modelo-digital/</t>
  </si>
  <si>
    <t xml:space="preserve">Qué entregan en este archivo</t>
  </si>
  <si>
    <t xml:space="preserve">1. Fuentes · una fila por cada fuente que encontraron en el rastreo, entre o no al lago. Las descartadas también cuentan: explican las decisiones.</t>
  </si>
  <si>
    <t xml:space="preserve">2. Diccionario · una fila por cada campo (columna o clave del JSON) que quedó en el lago. Si un campo no está aquí, no existe.</t>
  </si>
  <si>
    <t xml:space="preserve">3. Bitácora IA · qué le encargaron a la IA durante la búsqueda, qué respondió y cómo lo comprobaron.</t>
  </si>
  <si>
    <t xml:space="preserve">Resumen · se llena solo con fórmulas. No lo editen.</t>
  </si>
  <si>
    <t xml:space="preserve">Cómo llenarlo</t>
  </si>
  <si>
    <t xml:space="preserve">• Escriban solo en las celdas amarillas. La fila gris de cada hoja es un ejemplo (Medellín): pueden borrarla o dejarla, el resumen no la cuenta.</t>
  </si>
  <si>
    <t xml:space="preserve">• El ID de fuente (F01, F02…) une las tres hojas: úsenlo igual en Fuentes, Diccionario y Bitácora IA.</t>
  </si>
  <si>
    <t xml:space="preserve">• Las columnas con lista desplegable solo aceptan esas opciones.</t>
  </si>
  <si>
    <t xml:space="preserve">• La licencia se copia tal como aparece en la fuente. Si la fuente no dice nada, escriban «no declara»: no la supongan.</t>
  </si>
  <si>
    <t xml:space="preserve">• «Fecha en que la probaron» es el día en que la descarga o la API respondió de verdad, no el día en que la IA la mencionó.</t>
  </si>
  <si>
    <t xml:space="preserve">• Una fuente que la IA nombró y que ustedes no pudieron abrir va igual en Fuentes, con estado «No responde» o «No existe».</t>
  </si>
  <si>
    <t xml:space="preserve">1. Catálogo de fuentes</t>
  </si>
  <si>
    <t xml:space="preserve">Una fila por fuente encontrada. Escriban en las celdas amarillas; la fila gris es un ejemplo.</t>
  </si>
  <si>
    <t xml:space="preserve">ID fuente</t>
  </si>
  <si>
    <t xml:space="preserve">Nombre del conjunto de datos</t>
  </si>
  <si>
    <t xml:space="preserve">Entidad que lo publica</t>
  </si>
  <si>
    <t xml:space="preserve">Tipo de publicador</t>
  </si>
  <si>
    <t xml:space="preserve">URL exacta (descarga o API)</t>
  </si>
  <si>
    <t>Formato</t>
  </si>
  <si>
    <t xml:space="preserve">Cómo se obtiene</t>
  </si>
  <si>
    <t xml:space="preserve">Licencia (tal como aparece)</t>
  </si>
  <si>
    <t xml:space="preserve">¿Trae datos de personas?</t>
  </si>
  <si>
    <t xml:space="preserve">Cobertura geográfica</t>
  </si>
  <si>
    <t xml:space="preserve">Periodo que cubre</t>
  </si>
  <si>
    <t xml:space="preserve">Frecuencia de actualización</t>
  </si>
  <si>
    <t xml:space="preserve">Fecha en que la probaron (AAAA-MM-DD)</t>
  </si>
  <si>
    <t>Estado</t>
  </si>
  <si>
    <t xml:space="preserve">Cómo la encontraron (IA o búsqueda)</t>
  </si>
  <si>
    <t>Observaciones</t>
  </si>
  <si>
    <t>F01</t>
  </si>
  <si>
    <t xml:space="preserve">Vistas mensuales del artículo «Medellín» en Wikipedia</t>
  </si>
  <si>
    <t xml:space="preserve">Wikimedia Foundation</t>
  </si>
  <si>
    <t xml:space="preserve">Plataforma colaborativa</t>
  </si>
  <si>
    <t>https://wikimedia.org/api/rest_v1/metrics/pageviews/per-article/es.wikipedia/all-access/user/Medellín/monthly/20250101/20260831</t>
  </si>
  <si>
    <t>JSON</t>
  </si>
  <si>
    <t xml:space="preserve">API sin llave</t>
  </si>
  <si>
    <t>CC0</t>
  </si>
  <si>
    <t>No</t>
  </si>
  <si>
    <t xml:space="preserve">Ciudad (artículo)</t>
  </si>
  <si>
    <t xml:space="preserve">2025-01 a 2026-08</t>
  </si>
  <si>
    <t>Mensual</t>
  </si>
  <si>
    <t>2026-09-14</t>
  </si>
  <si>
    <t xml:space="preserve">Integrada al lago</t>
  </si>
  <si>
    <t xml:space="preserve">Se la pedimos a la IA como «fuente de interés público sobre la ciudad»; la probamos con curl</t>
  </si>
  <si>
    <t xml:space="preserve">Cuenta personas, no bots (agente «user»).</t>
  </si>
  <si>
    <t>F001</t>
  </si>
  <si>
    <t xml:space="preserve">Proyecciones de población municipal por área 2018–2042 (PPED, actualización de julio de 2025)</t>
  </si>
  <si>
    <t>DANE</t>
  </si>
  <si>
    <t xml:space="preserve">Entidad pública</t>
  </si>
  <si>
    <t>https://www.dane.gov.co/files/censo2018/proyecciones-de-poblacion/Municipal/PPED-AreaMun-2018-2042_VP.xlsx</t>
  </si>
  <si>
    <t>XLSX</t>
  </si>
  <si>
    <t xml:space="preserve">Descarga directa</t>
  </si>
  <si>
    <t xml:space="preserve">no declara</t>
  </si>
  <si>
    <t xml:space="preserve">Solo conteos por zona</t>
  </si>
  <si>
    <t xml:space="preserve">Nacional, por municipio y área (se usa Medellín)</t>
  </si>
  <si>
    <t xml:space="preserve">2018 – 2042</t>
  </si>
  <si>
    <t xml:space="preserve">Única vez</t>
  </si>
  <si>
    <t>2026-10-01</t>
  </si>
  <si>
    <t xml:space="preserve">Página de anexos del DANE, indicada por la IA</t>
  </si>
  <si>
    <t xml:space="preserve">Proyecciones a partir del Censo 2018; se republican cuando el DANE las revisa (última: julio de 2025).</t>
  </si>
  <si>
    <t>F002</t>
  </si>
  <si>
    <t xml:space="preserve">Proyecciones de población municipal por área, sexo y edad 2018–2042 (PPED)</t>
  </si>
  <si>
    <t>https://www.dane.gov.co/files/censo2018/proyecciones-de-poblacion/Municipal/PPED-AreaSexoEdadMun-2018-2042_VP.xlsx</t>
  </si>
  <si>
    <t xml:space="preserve">Nacional, por municipio, sexo y edad (se usa Medellín)</t>
  </si>
  <si>
    <t>2026</t>
  </si>
  <si>
    <t xml:space="preserve">Misma operación estadística que dane-pped; trae pirámide por edad simple.</t>
  </si>
  <si>
    <t>F003</t>
  </si>
  <si>
    <t xml:space="preserve">Proyecciones de población, hogares y viviendas 2018–2030 por comuna y corregimiento</t>
  </si>
  <si>
    <t xml:space="preserve">Departamento Administrativo de Planeación · Alcaldía de Medellín</t>
  </si>
  <si>
    <t>https://www.medellin.gov.co/servidormapas/rest/services/mapas_nacionales/VC_Distribucion_Poblacional/MapServer</t>
  </si>
  <si>
    <t xml:space="preserve">Medellín, por comuna y corregimiento</t>
  </si>
  <si>
    <t xml:space="preserve">Servidor de mapas de la Alcaldía (ArcGIS REST), explorado por carpetas con ayuda de IA</t>
  </si>
  <si>
    <t xml:space="preserve">Proyección elaborada en 2018, anterior a las actualizaciones del DANE; puede diferir de dane-pped.</t>
  </si>
  <si>
    <t>F004</t>
  </si>
  <si>
    <t xml:space="preserve">Indicadores de la Encuesta de Calidad de Vida por comuna y corregimiento (IMCV, pobreza multidimensional, IDH)</t>
  </si>
  <si>
    <t>https://www.medellin.gov.co/servidormapas/rest/services/estadisticas/VC_Indicadores_ECV/MapServer</t>
  </si>
  <si>
    <t xml:space="preserve">2014–2021 · 2014–2024</t>
  </si>
  <si>
    <t>Anual</t>
  </si>
  <si>
    <t xml:space="preserve">Indicadores derivados de la Encuesta de Calidad de Vida (microdatos no incluidos).</t>
  </si>
  <si>
    <t>F005</t>
  </si>
  <si>
    <t xml:space="preserve">Estadística de estratificación por manzana (catastro)</t>
  </si>
  <si>
    <t xml:space="preserve">Subsecretaría de Catastro · Alcaldía de Medellín</t>
  </si>
  <si>
    <t>https://www.medellin.gov.co/servidormapas/rest/services/ServiciosCatastro/ConsultaOperadorCatastral_geo/MapServer/23</t>
  </si>
  <si>
    <t xml:space="preserve">Medellín, por manzana</t>
  </si>
  <si>
    <t xml:space="preserve">Base catastral consultada el 2026-10-01</t>
  </si>
  <si>
    <t xml:space="preserve">Estadística de manzanas por estrato; no hay datos de propietarios ni de hogares.</t>
  </si>
  <si>
    <t>F006</t>
  </si>
  <si>
    <t xml:space="preserve">Eventos de salud por comuna y corregimiento: natalidad, mortalidad y dengue (SIVIGILA)</t>
  </si>
  <si>
    <t xml:space="preserve">Secretaría de Salud · Alcaldía de Medellín</t>
  </si>
  <si>
    <t>https://www.medellin.gov.co/servidormapas/rest/services/salud_protec_soc/VC_Datos_Enfermedades/MapServer</t>
  </si>
  <si>
    <t>2022</t>
  </si>
  <si>
    <t xml:space="preserve">Datos de salud agregados (nacimientos, muertes, dengue); el último año publicado es 2022.</t>
  </si>
  <si>
    <t>F007</t>
  </si>
  <si>
    <t xml:space="preserve">Gran Encuesta Integrada de Hogares · anexo 23 ciudades</t>
  </si>
  <si>
    <t>https://www.dane.gov.co/files/operaciones/GEIH/anex-GEIH-jul2026.xlsx</t>
  </si>
  <si>
    <t xml:space="preserve">Nacional, 23 ciudades y áreas metropolitanas (se usa Medellín A.M.)</t>
  </si>
  <si>
    <t xml:space="preserve">ene–mar 2007 – may–jul 2026</t>
  </si>
  <si>
    <t>2026-09-27</t>
  </si>
  <si>
    <t xml:space="preserve">Es el anexo en Excel de la GEIH, con indicadores agregados y trimestres móviles; no son los microdatos.</t>
  </si>
  <si>
    <t>F008</t>
  </si>
  <si>
    <t xml:space="preserve">Observatorio Inmobiliario de Medellín (OIME): ofertas de vivienda investigadas por el Catastro</t>
  </si>
  <si>
    <t>https://www.medellin.gov.co/servidormapas/rest/services/vivienda_ciudad_terri/VM_Oferta_Comercial_Oime/MapServer/0</t>
  </si>
  <si>
    <t xml:space="preserve">Medellín, ofertas puntuales de vivienda</t>
  </si>
  <si>
    <t xml:space="preserve">2008 – 2025</t>
  </si>
  <si>
    <t xml:space="preserve">Ofertas de venta y arriendo investigadas por el Catastro; precios por m² por estrato y comuna.</t>
  </si>
  <si>
    <t>F009</t>
  </si>
  <si>
    <t xml:space="preserve">Zonas de valor catastral del suelo de Medellín</t>
  </si>
  <si>
    <t xml:space="preserve">Área Metropolitana del Valle de Aburrá · Portal IDEM (catastro del Distrito)</t>
  </si>
  <si>
    <t>https://portalidem.metropol.gov.co/server/rest/services/MEDELLIN_Uso_y_Valores_Suelo/MapServer/0</t>
  </si>
  <si>
    <t xml:space="preserve">Medellín, por zona de valor catastral</t>
  </si>
  <si>
    <t xml:space="preserve">Base catastral consultada el 2026-09-27</t>
  </si>
  <si>
    <t xml:space="preserve">Portal IDEM del Área Metropolitana (ArcGIS REST), explorado con ayuda de IA</t>
  </si>
  <si>
    <t xml:space="preserve">Valor del suelo por zonas homogéneas, no por predio.</t>
  </si>
  <si>
    <t>F010</t>
  </si>
  <si>
    <t xml:space="preserve">Licencias urbanísticas expedidas por las curadurías (archivo digitalizado)</t>
  </si>
  <si>
    <t>https://www.medellin.gov.co/servidormapas/rest/services/vivienda_ciudad_terri/VM_Licencias/MapServer/2</t>
  </si>
  <si>
    <t xml:space="preserve">Medellín, por comuna</t>
  </si>
  <si>
    <t xml:space="preserve">2003 – 2020</t>
  </si>
  <si>
    <t xml:space="preserve">Archivo digitalizado 2003–2020; los años recientes traen pocos registros.</t>
  </si>
  <si>
    <t>F011</t>
  </si>
  <si>
    <t xml:space="preserve">Establecimientos de Industria y Comercio activos por actividad</t>
  </si>
  <si>
    <t xml:space="preserve">Secretaría de Hacienda · Alcaldía de Medellín</t>
  </si>
  <si>
    <t>https://www.medellin.gov.co/servidormapas/rest/services/ccio_ind_turism/VC_Act_Comercial_Empresarial/MapServer/0</t>
  </si>
  <si>
    <t xml:space="preserve">Medellín, por comuna y actividad</t>
  </si>
  <si>
    <t xml:space="preserve">Registro activo consultado el 2026-09-27</t>
  </si>
  <si>
    <t xml:space="preserve">No se sabe</t>
  </si>
  <si>
    <t xml:space="preserve">Registro de contribuyentes; se usa solo el conteo por zona (inferido: algunos serían personas naturales).</t>
  </si>
  <si>
    <t>F012</t>
  </si>
  <si>
    <t xml:space="preserve">Estructura empresarial de Medellín según comunas y actividad económica</t>
  </si>
  <si>
    <t xml:space="preserve">Cámara de Comercio de Medellín para Antioquia</t>
  </si>
  <si>
    <t xml:space="preserve">Academia u ONG</t>
  </si>
  <si>
    <t>https://www.datos.gov.co/d/pb3w-3vmc</t>
  </si>
  <si>
    <t xml:space="preserve">Creative Commons Attribution | Share Alike 4.0 International (CC BY-SA 4.0)</t>
  </si>
  <si>
    <t xml:space="preserve">Medellín, por comuna y actividad económica</t>
  </si>
  <si>
    <t xml:space="preserve">2018 – 2022</t>
  </si>
  <si>
    <t xml:space="preserve">Portal nacional datos.gov.co, buscado por entidad y tema con ayuda de IA</t>
  </si>
  <si>
    <t xml:space="preserve">Datos de la Cámara de Comercio; última actualización del dataset en 2023.</t>
  </si>
  <si>
    <t>F013</t>
  </si>
  <si>
    <t xml:space="preserve">Homicidios · Policía Nacional</t>
  </si>
  <si>
    <t xml:space="preserve">Ministerio de Defensa Nacional · Policía Nacional</t>
  </si>
  <si>
    <t>https://www.datos.gov.co/d/m8fd-ahd9</t>
  </si>
  <si>
    <t xml:space="preserve">Nacional, por municipio (se filtra Medellín)</t>
  </si>
  <si>
    <t xml:space="preserve">2024-01 – 2026-08</t>
  </si>
  <si>
    <t xml:space="preserve">Cada fila es un evento con fecha, municipio, arma y cantidad; sin datos de víctimas.</t>
  </si>
  <si>
    <t>F014</t>
  </si>
  <si>
    <t xml:space="preserve">Hurto a personas · Policía Nacional</t>
  </si>
  <si>
    <t>https://www.datos.gov.co/d/4rxi-8m8d</t>
  </si>
  <si>
    <t>F015</t>
  </si>
  <si>
    <t xml:space="preserve">Hurto de vehículos · Policía Nacional</t>
  </si>
  <si>
    <t>https://www.datos.gov.co/d/csb4-y6v2</t>
  </si>
  <si>
    <t xml:space="preserve">Cada fila es un evento con fecha, municipio y cantidad.</t>
  </si>
  <si>
    <t>F016</t>
  </si>
  <si>
    <t xml:space="preserve">Extorsión · Policía Nacional</t>
  </si>
  <si>
    <t>https://www.datos.gov.co/d/q2ib-t9am</t>
  </si>
  <si>
    <t>F017</t>
  </si>
  <si>
    <t xml:space="preserve">Violencia intrafamiliar · Policía Nacional</t>
  </si>
  <si>
    <t>https://www.datos.gov.co/d/gepp-dxcs</t>
  </si>
  <si>
    <t xml:space="preserve">Cada fila es un evento con fecha, municipio y cantidad; sin datos de víctimas.</t>
  </si>
  <si>
    <t>F018</t>
  </si>
  <si>
    <t xml:space="preserve">Delitos sexuales · Policía Nacional</t>
  </si>
  <si>
    <t>https://www.datos.gov.co/d/bz43-8ahq</t>
  </si>
  <si>
    <t>F019</t>
  </si>
  <si>
    <t xml:space="preserve">Lesiones personales · Policía Nacional</t>
  </si>
  <si>
    <t>https://www.datos.gov.co/d/jr6v-i33g</t>
  </si>
  <si>
    <t>F020</t>
  </si>
  <si>
    <t xml:space="preserve">Homicidio (SISC, georreferenciado)</t>
  </si>
  <si>
    <t xml:space="preserve">Secretaría de Seguridad y Convivencia · Alcaldía de Medellín (SISC / MEData)</t>
  </si>
  <si>
    <t>http://medata.gov.co/sites/default/files/distribution/1-027-23-000008/homicidio.csv</t>
  </si>
  <si>
    <t>CSV</t>
  </si>
  <si>
    <t xml:space="preserve">Medellín, eventos georreferenciados (barrio y comuna)</t>
  </si>
  <si>
    <t xml:space="preserve">2003 – 2023</t>
  </si>
  <si>
    <t xml:space="preserve">Portal MEData de la Alcaldía de Medellín, buscado por tema con ayuda de IA</t>
  </si>
  <si>
    <t xml:space="preserve">Histórico 2003–2023 sin actualizaciones posteriores; cada fila es un evento anónimo con coordenadas y rasgos como sexo o edad de la víctima.</t>
  </si>
  <si>
    <t>F021</t>
  </si>
  <si>
    <t xml:space="preserve">Hurto a persona (SISC, georreferenciado)</t>
  </si>
  <si>
    <t>http://medata.gov.co/sites/default/files/distribution/1-027-23-000011/hurto_a_persona.csv</t>
  </si>
  <si>
    <t>F022</t>
  </si>
  <si>
    <t xml:space="preserve">Hurto de carro (SISC, georreferenciado)</t>
  </si>
  <si>
    <t>http://medata.gov.co/sites/default/files/distribution/1-027-23-000013/hurto_de_carro.csv</t>
  </si>
  <si>
    <t>F023</t>
  </si>
  <si>
    <t xml:space="preserve">Hurto de moto (SISC, georreferenciado)</t>
  </si>
  <si>
    <t>http://medata.gov.co/sites/default/files/distribution/1-027-23-000014/hurto_de_moto.csv</t>
  </si>
  <si>
    <t>F024</t>
  </si>
  <si>
    <t xml:space="preserve">Hurto a residencia (SISC, georreferenciado)</t>
  </si>
  <si>
    <t>http://medata.gov.co/sites/default/files/distribution/1-027-23-000012/hurto_a_residencia.csv</t>
  </si>
  <si>
    <t>F025</t>
  </si>
  <si>
    <t xml:space="preserve">Hurto a establecimiento comercial (SISC, georreferenciado)</t>
  </si>
  <si>
    <t>http://medata.gov.co/sites/default/files/distribution/1-027-23-000010/hurto_a_establecimiento_comercial.csv</t>
  </si>
  <si>
    <t>F026</t>
  </si>
  <si>
    <t xml:space="preserve">Extorsión (SISC, georreferenciado)</t>
  </si>
  <si>
    <t>http://medata.gov.co/sites/default/files/distribution/1-027-23-000007/extorsion.csv</t>
  </si>
  <si>
    <t>F027</t>
  </si>
  <si>
    <t xml:space="preserve">Lesión no fatal dolosa (SISC, georreferenciado)</t>
  </si>
  <si>
    <t>http://medata.gov.co/sites/default/files/distribution/1-027-23-000002/lesion_no_fatal_dolosa_segun_policia.csv</t>
  </si>
  <si>
    <t>F028</t>
  </si>
  <si>
    <t xml:space="preserve">Extranjeros no residentes por ciudad de destino</t>
  </si>
  <si>
    <t xml:space="preserve">Ministerio de Comercio, Industria y Turismo</t>
  </si>
  <si>
    <t>https://www.datos.gov.co/d/7wm8-w5ad</t>
  </si>
  <si>
    <t xml:space="preserve">Nacional, por ciudad de destino (se filtra Medellín)</t>
  </si>
  <si>
    <t xml:space="preserve">ene 2015 – jun 2026</t>
  </si>
  <si>
    <t xml:space="preserve">Extranjeros no residentes por ciudad de destino, mes y nacionalidad.</t>
  </si>
  <si>
    <t>F029</t>
  </si>
  <si>
    <t xml:space="preserve">Transporte aéreo comercial · tráfico origen–destino</t>
  </si>
  <si>
    <t xml:space="preserve">Aeronáutica Civil de Colombia</t>
  </si>
  <si>
    <t>https://www.datos.gov.co/d/gb6w-ynu4</t>
  </si>
  <si>
    <t xml:space="preserve">Nacional, por ruta origen–destino (se filtra el aeropuerto JMC)</t>
  </si>
  <si>
    <t xml:space="preserve">ene 2020 – jun 2026</t>
  </si>
  <si>
    <t>Trimestral</t>
  </si>
  <si>
    <t xml:space="preserve">Pasajeros por ruta y mes; se usa el aeropuerto José María Córdova.</t>
  </si>
  <si>
    <t>F030</t>
  </si>
  <si>
    <t xml:space="preserve">Porcentaje de ocupación hotelera mensual de Medellín</t>
  </si>
  <si>
    <t xml:space="preserve">Secretaría de Turismo · Alcaldía de Medellín (MEData)</t>
  </si>
  <si>
    <t>http://medata.gov.co/sites/default/files/distribution/1-010-04-000201/porcentaje_ocupacion_hotelera_mensual_de_medellin.csv</t>
  </si>
  <si>
    <t xml:space="preserve">Medellín, por zona hotelera</t>
  </si>
  <si>
    <t xml:space="preserve">ene 2007 – oct 2023</t>
  </si>
  <si>
    <t xml:space="preserve">La serie termina en octubre de 2023.</t>
  </si>
  <si>
    <t>F031</t>
  </si>
  <si>
    <t xml:space="preserve">Visitantes a museos</t>
  </si>
  <si>
    <t>http://medata.gov.co/sites/default/files/distribution/1-010-04-000192/ingreso_mensual_de_visitantes_a_museos.csv</t>
  </si>
  <si>
    <t xml:space="preserve">Medellín, por museo</t>
  </si>
  <si>
    <t xml:space="preserve">2007 – 2022</t>
  </si>
  <si>
    <t xml:space="preserve">La serie termina en 2022.</t>
  </si>
  <si>
    <t>F032</t>
  </si>
  <si>
    <t xml:space="preserve">Visitantes a sitios de interés</t>
  </si>
  <si>
    <t>http://medata.gov.co/sites/default/files/distribution/1-010-04-000193/ingreso_mensual_de_visitantes_a_sitios_de_interes.csv</t>
  </si>
  <si>
    <t xml:space="preserve">Medellín, por sitio de interés</t>
  </si>
  <si>
    <t>F033</t>
  </si>
  <si>
    <t xml:space="preserve">Atractivos turísticos y puntos de información turística</t>
  </si>
  <si>
    <t xml:space="preserve">Secretaría de Turismo · Alcaldía de Medellín</t>
  </si>
  <si>
    <t>https://www.medellin.gov.co/servidormapas/rest/services/ccio_ind_turism/VC_Turismo/MapServer</t>
  </si>
  <si>
    <t xml:space="preserve">Medellín, puntos georreferenciados</t>
  </si>
  <si>
    <t xml:space="preserve">Actualizado el 2024-10-17</t>
  </si>
  <si>
    <t xml:space="preserve">Última actualización de la capa: 17 de octubre de 2024.</t>
  </si>
  <si>
    <t>F034</t>
  </si>
  <si>
    <t xml:space="preserve">Hoteles, hostales y otros hospedajes mapeados en OpenStreetMap</t>
  </si>
  <si>
    <t xml:space="preserve">Colaboradores de OpenStreetMap (ODbL)</t>
  </si>
  <si>
    <t>https://overpass-turbo.eu/?Q=nwr%5B%22tourism%22~%22%5E%28hotel%7Chostel%7Cguest_house%7Capartment%7Cmotel%29%24%22%5D%286.14%2C-75.72%2C6.4%2C-75.46%29%3Bout%20center%3B</t>
  </si>
  <si>
    <t xml:space="preserve">ODbL 1.0 (Open Database License)</t>
  </si>
  <si>
    <t xml:space="preserve">Caja geográfica del Valle de Aburrá (6.14–6.40 N, 75.72–75.46 O)</t>
  </si>
  <si>
    <t xml:space="preserve">OpenStreetMap al 2026-06-01</t>
  </si>
  <si>
    <t xml:space="preserve">Tiempo real</t>
  </si>
  <si>
    <t xml:space="preserve">Conocida de antemano como fuente abierta; consulta Overpass armada con ayuda de IA</t>
  </si>
  <si>
    <t xml:space="preserve">Los mapeadores editan de forma continua; la cobertura depende del voluntariado y es desigual. Exige atribución «© OpenStreetMap contributors».</t>
  </si>
  <si>
    <t>F035</t>
  </si>
  <si>
    <t xml:space="preserve">CUIPO · programación y ejecución de ingresos del Distrito de Medellín</t>
  </si>
  <si>
    <t xml:space="preserve">Contraloría General de la República</t>
  </si>
  <si>
    <t>https://www.datos.gov.co/d/9axr-9gnb</t>
  </si>
  <si>
    <t xml:space="preserve">Nacional, por entidad territorial (se filtra el Distrito de Medellín)</t>
  </si>
  <si>
    <t xml:space="preserve">2025 · ene–jun 2026</t>
  </si>
  <si>
    <t xml:space="preserve">Reporte de la Contraloría; el cierre del año llega con rezago.</t>
  </si>
  <si>
    <t>F036</t>
  </si>
  <si>
    <t xml:space="preserve">CUIPO · programación y ejecución de gastos del Distrito de Medellín</t>
  </si>
  <si>
    <t>https://www.datos.gov.co/d/4f7r-epif</t>
  </si>
  <si>
    <t xml:space="preserve">2025 · 2026 · corte jun 2026 · ene–jun 2026</t>
  </si>
  <si>
    <t>F037</t>
  </si>
  <si>
    <t xml:space="preserve">Acuerdos sancionados</t>
  </si>
  <si>
    <t xml:space="preserve">Concejo de Medellín</t>
  </si>
  <si>
    <t>https://www.datos.gov.co/d/9smt-mgt4</t>
  </si>
  <si>
    <t xml:space="preserve">Medellín, Concejo Distrital</t>
  </si>
  <si>
    <t xml:space="preserve">Trae los autores como figuras públicas (concejales), no datos personales sensibles.</t>
  </si>
  <si>
    <t>F038</t>
  </si>
  <si>
    <t xml:space="preserve">Proyectos de acuerdo</t>
  </si>
  <si>
    <t>https://www.datos.gov.co/d/sqkr-77ej</t>
  </si>
  <si>
    <t>F039</t>
  </si>
  <si>
    <t xml:space="preserve">Inversión pública por comuna y corregimiento</t>
  </si>
  <si>
    <t>https://www.medellin.gov.co/servidormapas/rest/services/hacienda_credi_publ/VM_Inversion_Publica/MapServer/0</t>
  </si>
  <si>
    <t xml:space="preserve">2008 – 2024</t>
  </si>
  <si>
    <t xml:space="preserve">Solo la inversión que se puede localizar; no incluye la inversión de toda la ciudad.</t>
  </si>
  <si>
    <t>F040</t>
  </si>
  <si>
    <t xml:space="preserve">SECOP II · contratos electrónicos del Distrito de Medellín</t>
  </si>
  <si>
    <t xml:space="preserve">Colombia Compra Eficiente</t>
  </si>
  <si>
    <t>https://www.datos.gov.co/d/jbjy-vk9h</t>
  </si>
  <si>
    <t xml:space="preserve">Personas identificables</t>
  </si>
  <si>
    <t xml:space="preserve">Nacional (se filtra el Distrito de Medellín)</t>
  </si>
  <si>
    <t xml:space="preserve">2018 – 2025</t>
  </si>
  <si>
    <t>Diaria</t>
  </si>
  <si>
    <t xml:space="preserve">Los contratistas pueden ser personas naturales con nombre y documento; en el lago solo se guardan conteos y valores. Es el dataset más actualizado del conjunto.</t>
  </si>
  <si>
    <t>F041</t>
  </si>
  <si>
    <t xml:space="preserve">Facturación histórica del impuesto predial unificado por comuna de cobro</t>
  </si>
  <si>
    <t xml:space="preserve">Secretaría de Hacienda · Alcaldía de Medellín (MEData)</t>
  </si>
  <si>
    <t>http://medata.gov.co/sites/default/files/distribution/1-016-12-000302/facturacion_historica_impuesto_predial_unificado_por_concepto_por_comuna_de_cobro.csv</t>
  </si>
  <si>
    <t xml:space="preserve">Medellín, por comuna de cobro</t>
  </si>
  <si>
    <t xml:space="preserve">2020 (histórico)</t>
  </si>
  <si>
    <t xml:space="preserve">Cierra en 2020.</t>
  </si>
  <si>
    <t>F042</t>
  </si>
  <si>
    <t xml:space="preserve">Reporte de estratificación y cobertura de acueducto, alcantarillado y aseo</t>
  </si>
  <si>
    <t xml:space="preserve">Subsecretaría de Servicios Públicos · Alcaldía de Medellín (MEData)</t>
  </si>
  <si>
    <t>http://medata.gov.co/sites/default/files/distribution/1-014-26-000256/reporte_de_estratificacion_y_cobertura.csv</t>
  </si>
  <si>
    <t xml:space="preserve">2019 (histórico)</t>
  </si>
  <si>
    <t xml:space="preserve">Corte de 2019.</t>
  </si>
  <si>
    <t>F043</t>
  </si>
  <si>
    <t xml:space="preserve">Suscriptores y consumos de acueducto y alcantarillado del gran prestador (EPM)</t>
  </si>
  <si>
    <t>http://medata.gov.co/sites/default/files/distribution/1-014-26-000261/suscriptores_y_consumos_gran_prestador.csv</t>
  </si>
  <si>
    <t xml:space="preserve">Medellín, por comuna y estrato</t>
  </si>
  <si>
    <t xml:space="preserve">dic 2017 – ago 2023</t>
  </si>
  <si>
    <t xml:space="preserve">Serie mensual cerrada en agosto de 2023.</t>
  </si>
  <si>
    <t>F044</t>
  </si>
  <si>
    <t xml:space="preserve">Suscriptores y consumos de los pequeños prestadores de acueducto y alcantarillado</t>
  </si>
  <si>
    <t>http://medata.gov.co/sites/default/files/distribution/1-014-26-000262/suscriptores_y_consumos_pequenos_prestadores.csv</t>
  </si>
  <si>
    <t xml:space="preserve">Medellín, por prestador rural</t>
  </si>
  <si>
    <t xml:space="preserve">sep 2023 (histórico)</t>
  </si>
  <si>
    <t xml:space="preserve">Corte de septiembre de 2023.</t>
  </si>
  <si>
    <t>F045</t>
  </si>
  <si>
    <t xml:space="preserve">Suscriptores del servicio de aseo (Emvarias)</t>
  </si>
  <si>
    <t>http://medata.gov.co/sites/default/files/distribution/1-014-26-000260/suscriptores_aseo.csv</t>
  </si>
  <si>
    <t xml:space="preserve">ago 2023 (histórico)</t>
  </si>
  <si>
    <t xml:space="preserve">Corte de agosto de 2023.</t>
  </si>
  <si>
    <t>F046</t>
  </si>
  <si>
    <t xml:space="preserve">Subsidios y contribuciones de acueducto y alcantarillado del gran prestador (EPM)</t>
  </si>
  <si>
    <t>http://medata.gov.co/sites/default/files/distribution/1-014-26-000258/subsidios_y_contribuciones_gran_prestador.csv</t>
  </si>
  <si>
    <t>F047</t>
  </si>
  <si>
    <t xml:space="preserve">Subsidios y contribuciones del servicio de aseo (Emvarias)</t>
  </si>
  <si>
    <t>http://medata.gov.co/sites/default/files/distribution/1-014-26-000257/subsidios_y_contribuciones_aseo.csv</t>
  </si>
  <si>
    <t>F048</t>
  </si>
  <si>
    <t xml:space="preserve">Tarifas de acueducto y aguas residuales para hogares</t>
  </si>
  <si>
    <t xml:space="preserve">Empresas Públicas de Medellín (EPM)</t>
  </si>
  <si>
    <t>https://www.datos.gov.co/d/nfrm-mmfe</t>
  </si>
  <si>
    <t xml:space="preserve">Departamento de Antioquia, municipios atendidos por EPM</t>
  </si>
  <si>
    <t xml:space="preserve">abr 2017 – ago 2026</t>
  </si>
  <si>
    <t xml:space="preserve">Tarifas por estrato; se toma Medellín.</t>
  </si>
  <si>
    <t>F049</t>
  </si>
  <si>
    <t xml:space="preserve">Tarifas de gas natural para hogares</t>
  </si>
  <si>
    <t>https://www.datos.gov.co/d/ekup-y869</t>
  </si>
  <si>
    <t xml:space="preserve">ene 2020 – oct 2026</t>
  </si>
  <si>
    <t xml:space="preserve">Tarifas por estrato y rango de consumo.</t>
  </si>
  <si>
    <t>F050</t>
  </si>
  <si>
    <t xml:space="preserve">Tarifas y costo de energía eléctrica, mercado regulado (publicación mensual)</t>
  </si>
  <si>
    <t>https://www.epm.com.co/clientesyusuarios/energia/tarifas-energia/</t>
  </si>
  <si>
    <t xml:space="preserve">Página web</t>
  </si>
  <si>
    <t xml:space="preserve">Solo PDF o página</t>
  </si>
  <si>
    <t xml:space="preserve">Área de servicio de EPM en Antioquia</t>
  </si>
  <si>
    <t xml:space="preserve">ene 2026 – sep 2026</t>
  </si>
  <si>
    <t xml:space="preserve">Página de tarifas de EPM, indicada por la IA</t>
  </si>
  <si>
    <t xml:space="preserve">No hay API: las cifras se leen de la página y por eso la fuente queda «declarada», no observada.</t>
  </si>
  <si>
    <t>F051</t>
  </si>
  <si>
    <t xml:space="preserve">Registro de estaciones de clasificación y aprovechamiento (ECA)</t>
  </si>
  <si>
    <t xml:space="preserve">Superintendencia de Servicios Públicos Domiciliarios</t>
  </si>
  <si>
    <t>https://www.datos.gov.co/d/y97c-tfd9</t>
  </si>
  <si>
    <t xml:space="preserve">Nacional, por estación (se filtra Medellín)</t>
  </si>
  <si>
    <t xml:space="preserve">Certificado hasta 2024-07-22</t>
  </si>
  <si>
    <t xml:space="preserve">Registro con certificación hasta el 22 de julio de 2024.</t>
  </si>
  <si>
    <t>F052</t>
  </si>
  <si>
    <t xml:space="preserve">Organizaciones recicladoras</t>
  </si>
  <si>
    <t>http://medata.gov.co/sites/default/files/distribution/1-014-26-000593/Organizaciones_Recicladoras.csv</t>
  </si>
  <si>
    <t>Medellín</t>
  </si>
  <si>
    <t xml:space="preserve">Registro sin fecha (MEData lo fecha en noviembre de 2023)</t>
  </si>
  <si>
    <t xml:space="preserve">Registro de organizaciones; sin fecha propia (MEData lo fecha en noviembre de 2023).</t>
  </si>
  <si>
    <t>F053</t>
  </si>
  <si>
    <t xml:space="preserve">Accesos a internet fijo por municipio, segmento y tecnología</t>
  </si>
  <si>
    <t xml:space="preserve">Ministerio de Tecnologías de la Información y las Comunicaciones</t>
  </si>
  <si>
    <t>https://www.postdata.gov.co/sites/default/files/ACCESOS_INTERNET_FIJO_3_5.csv</t>
  </si>
  <si>
    <t xml:space="preserve">Nacional, por municipio, segmento y tecnología</t>
  </si>
  <si>
    <t xml:space="preserve">T1 2024 – T1 2026</t>
  </si>
  <si>
    <t xml:space="preserve">Portal Postdata de MinTIC, indicado por la IA</t>
  </si>
  <si>
    <t xml:space="preserve">Accesos por municipio; no hay detalle por comuna.</t>
  </si>
  <si>
    <t>F054</t>
  </si>
  <si>
    <t xml:space="preserve">Cobertura de internet fijo por comuna</t>
  </si>
  <si>
    <t xml:space="preserve">MinTIC y operadores</t>
  </si>
  <si>
    <t>https://www.datos.gov.co/d/fwe6-d4hc</t>
  </si>
  <si>
    <t xml:space="preserve">No publicada</t>
  </si>
  <si>
    <t>Candidata</t>
  </si>
  <si>
    <t xml:space="preserve">Candidata que no se pudo usar: el dataset no entrega cobertura por comuna y su ficha no declara licencia.</t>
  </si>
  <si>
    <t>F055</t>
  </si>
  <si>
    <t xml:space="preserve">Afluencia Metro por línea y hora</t>
  </si>
  <si>
    <t xml:space="preserve">Metro de Medellín</t>
  </si>
  <si>
    <t>https://metrodemedellin.maps.arcgis.com/sharing/rest/content/items/47c841c020644d26ae54d4e0871df154/data</t>
  </si>
  <si>
    <t xml:space="preserve">Medellín y Valle de Aburrá, por línea y hora</t>
  </si>
  <si>
    <t xml:space="preserve">2026-01 – 2026-07</t>
  </si>
  <si>
    <t>2026-09-26</t>
  </si>
  <si>
    <t xml:space="preserve">Portal de datos abiertos del Metro (ArcGIS), indicado por la IA</t>
  </si>
  <si>
    <t xml:space="preserve">Afluencia en el sistema Metro; se usa el archivo de datos del item de ArcGIS.</t>
  </si>
  <si>
    <t>F056</t>
  </si>
  <si>
    <t xml:space="preserve">Comunas, corregimientos, barrios y veredas de Medellín</t>
  </si>
  <si>
    <t>https://portalidem.metropol.gov.co/server/rest/services/DISTRITO_MEDELLIN_CATASTRO/MapServer</t>
  </si>
  <si>
    <t>GeoJSON</t>
  </si>
  <si>
    <t xml:space="preserve">Medellín, comunas, corregimientos, barrios y veredas</t>
  </si>
  <si>
    <t xml:space="preserve">Límite vigente</t>
  </si>
  <si>
    <t xml:space="preserve">Límites vigentes del catastro del Distrito; sirven de base para todos los cruces.</t>
  </si>
  <si>
    <t>F057</t>
  </si>
  <si>
    <t xml:space="preserve">Construcciones urbanas y rurales del catastro distrital</t>
  </si>
  <si>
    <t>https://portalidem.metropol.gov.co/server/rest/services/DISTRITO_MEDELLIN_CATASTRO/MapServer/8</t>
  </si>
  <si>
    <t xml:space="preserve">Medellín, urbano y rural</t>
  </si>
  <si>
    <t xml:space="preserve">Base catastral vigente</t>
  </si>
  <si>
    <t xml:space="preserve">Huellas de edificaciones con pisos y uso; sin propietarios. Es la capa más pesada (se sirve como PMTiles).</t>
  </si>
  <si>
    <t>F058</t>
  </si>
  <si>
    <t xml:space="preserve">POT (Acuerdo 48 de 2014) · tratamientos urbanos con altura normativa</t>
  </si>
  <si>
    <t xml:space="preserve">Área Metropolitana del Valle de Aburrá · Portal IDEM</t>
  </si>
  <si>
    <t>https://portalidem.metropol.gov.co/server/rest/services/DISTRITO_MEDELLIN_POT/MapServer/5</t>
  </si>
  <si>
    <t xml:space="preserve">Medellín, suelo urbano</t>
  </si>
  <si>
    <t xml:space="preserve">POT vigente (Acuerdo 48 de 2014)</t>
  </si>
  <si>
    <t xml:space="preserve">POT de 2014; hay una revisión en curso que aún no es oficial.</t>
  </si>
  <si>
    <t>F059</t>
  </si>
  <si>
    <t xml:space="preserve">Ortofoto 2024 del Distrito</t>
  </si>
  <si>
    <t xml:space="preserve">Alcaldía de Medellín</t>
  </si>
  <si>
    <t>https://www.medellin.gov.co/servidormapas/rest/services/ServiciosCiudad/IMAGEN_WEBM_2024/MapServer</t>
  </si>
  <si>
    <t>Otro</t>
  </si>
  <si>
    <t xml:space="preserve">Servicio vigente</t>
  </si>
  <si>
    <t xml:space="preserve">Teselas de imagen (hasta el nivel 23) del vuelo de 2024; se sirven a través de un proxy local.</t>
  </si>
  <si>
    <t>F060</t>
  </si>
  <si>
    <t xml:space="preserve">World Imagery</t>
  </si>
  <si>
    <t xml:space="preserve">Esri, Maxar, Earthstar Geographics</t>
  </si>
  <si>
    <t xml:space="preserve">Empresa privada</t>
  </si>
  <si>
    <t>https://server.arcgisonline.com/ArcGIS/rest/services/World_Imagery/MapServer</t>
  </si>
  <si>
    <t xml:space="preserve">Propietaria: términos de uso de Esri y proveedores (Maxar, Earthstar)</t>
  </si>
  <si>
    <t>Global</t>
  </si>
  <si>
    <t xml:space="preserve">Mapa base satelital estándar, sugerido por la IA</t>
  </si>
  <si>
    <t xml:space="preserve">Solo mapa de fondo; exige mostrar la atribución de Esri.</t>
  </si>
  <si>
    <t>F061</t>
  </si>
  <si>
    <t xml:space="preserve">Terrain Tiles (Terrarium)</t>
  </si>
  <si>
    <t xml:space="preserve">Mapzen · AWS Open Data</t>
  </si>
  <si>
    <t>https://registry.opendata.aws/terrain-tiles/</t>
  </si>
  <si>
    <t xml:space="preserve">Mixta: datos abiertos de varias fuentes (SRTM, NED, etc.), atribuir a Mapzen</t>
  </si>
  <si>
    <t xml:space="preserve">Registro de datos abiertos de AWS, sugerido por la IA</t>
  </si>
  <si>
    <t xml:space="preserve">Relieve en teselas PNG tipo Terrarium, ~30 m en Colombia.</t>
  </si>
  <si>
    <t>F062</t>
  </si>
  <si>
    <t xml:space="preserve">Cartografía base (OpenFreeMap · OpenMapTiles · OpenStreetMap)</t>
  </si>
  <si>
    <t>OpenFreeMap</t>
  </si>
  <si>
    <t>https://openfreemap.org/</t>
  </si>
  <si>
    <t xml:space="preserve">ODbL 1.0 (datos OpenStreetMap) y BSD / CC BY 4.0 (esquema OpenMapTiles)</t>
  </si>
  <si>
    <t xml:space="preserve">Búsqueda de mapas base abiertos sin llave, con ayuda de IA</t>
  </si>
  <si>
    <t xml:space="preserve">Teselas vectoriales gratuitas; exigen atribución a OpenFreeMap, OpenMapTiles y OpenStreetMap.</t>
  </si>
  <si>
    <t>F063</t>
  </si>
  <si>
    <t xml:space="preserve">Subestaciones y redes eléctricas del Valle de Aburrá (riesgo tecnológico)</t>
  </si>
  <si>
    <t xml:space="preserve">Área Metropolitana del Valle de Aburrá · Portal IDEM (datos de EPM)</t>
  </si>
  <si>
    <t>https://portalidem.metropol.gov.co/server/rest/services/Hosted/Riesgo_Tecnol%C3%B3gico/FeatureServer</t>
  </si>
  <si>
    <t xml:space="preserve">Valle de Aburrá (se recorta a Medellín)</t>
  </si>
  <si>
    <t xml:space="preserve">Red vigente</t>
  </si>
  <si>
    <t xml:space="preserve">Capas de riesgo tecnológico con datos de EPM: subestaciones y redes.</t>
  </si>
  <si>
    <t>F064</t>
  </si>
  <si>
    <t xml:space="preserve">Construcciones del catastro con su comuna y altura normativa (cruce del gemelo)</t>
  </si>
  <si>
    <t xml:space="preserve">Área Metropolitana del Valle de Aburrá · Portal IDEM (catastro del Distrito) · POT</t>
  </si>
  <si>
    <t xml:space="preserve">Medellín, 16 comunas urbanas</t>
  </si>
  <si>
    <t xml:space="preserve">Cruce propio del gemelo digital entre construcciones del catastro y altura normativa del POT.</t>
  </si>
  <si>
    <t>F065</t>
  </si>
  <si>
    <t xml:space="preserve">Víctimas en incidentes viales (georreferenciadas)</t>
  </si>
  <si>
    <t xml:space="preserve">Secretaría de Movilidad · Alcaldía de Medellín (MEData)</t>
  </si>
  <si>
    <t>http://medata.gov.co/sites/default/files/distribution/1-023-25-000360/Mede_Victimas_inci.csv</t>
  </si>
  <si>
    <t xml:space="preserve">Medellín, siniestros georreferenciados</t>
  </si>
  <si>
    <t>2019–2021</t>
  </si>
  <si>
    <t xml:space="preserve">Solo 2019–2021; cada fila es una víctima anónima con edad, sexo y tipo de usuario.</t>
  </si>
  <si>
    <t>F066</t>
  </si>
  <si>
    <t xml:space="preserve">Aforos vehiculares por intersección</t>
  </si>
  <si>
    <t>http://medata.gov.co/sites/default/files/distribution/1-023-25-000301/Aforos_Vehiculares.csv</t>
  </si>
  <si>
    <t xml:space="preserve">Medellín, intersecciones</t>
  </si>
  <si>
    <t>2017–2019</t>
  </si>
  <si>
    <t xml:space="preserve">Conteos de 2017–2019.</t>
  </si>
  <si>
    <t>F067</t>
  </si>
  <si>
    <t xml:space="preserve">POT (Acuerdo 48 de 2014): riesgos, tratamientos, suelo de protección y equipamientos</t>
  </si>
  <si>
    <t>https://portalidem.metropol.gov.co/server/rest/services/DISTRITO_MEDELLIN_POT/MapServer</t>
  </si>
  <si>
    <t xml:space="preserve">POT de 2014 (Acuerdo 48).</t>
  </si>
  <si>
    <t>F068</t>
  </si>
  <si>
    <t xml:space="preserve">Estaciones y líneas del Sistema Metro</t>
  </si>
  <si>
    <t xml:space="preserve">Metro de Medellín · datos abiertos</t>
  </si>
  <si>
    <t>https://datosabiertos-metrodemedellin.opendata.arcgis.com/</t>
  </si>
  <si>
    <t xml:space="preserve">Valle de Aburrá</t>
  </si>
  <si>
    <t xml:space="preserve">Estaciones y líneas del sistema.</t>
  </si>
  <si>
    <t>F069</t>
  </si>
  <si>
    <t xml:space="preserve">Estaciones EnCicla y ciclorrutas</t>
  </si>
  <si>
    <t>https://portalidem.metropol.gov.co/server/rest/services/Hosted/Ciclorrutas/FeatureServer/0</t>
  </si>
  <si>
    <t xml:space="preserve">Estaciones EnCicla y ciclorrutas.</t>
  </si>
  <si>
    <t>F070</t>
  </si>
  <si>
    <t xml:space="preserve">Amenazas y zonas de riesgo por movimientos en masa, inundaciones y avenidas torrenciales</t>
  </si>
  <si>
    <t xml:space="preserve">Alcaldía de Medellín · capas protocolizadas del POT (Acuerdo 48 de 2014)</t>
  </si>
  <si>
    <t>https://www.medellin.gov.co/servidormapas/rest/services/ambiente_dllo_sost/VC_Gestion_Riesgo/MapServer</t>
  </si>
  <si>
    <t xml:space="preserve">POT (Acuerdo 48 de 2014), capas actualizadas al 17 de julio de 2026</t>
  </si>
  <si>
    <t>2026-09-30</t>
  </si>
  <si>
    <t xml:space="preserve">Capas protocolizadas del POT; la actualización más reciente es del 17 de julio de 2026.</t>
  </si>
  <si>
    <t>F071</t>
  </si>
  <si>
    <t xml:space="preserve">Usos generales del suelo urbano</t>
  </si>
  <si>
    <t>https://www.medellin.gov.co/servidormapas/rest/services/ordenamiento_ter/VM_POT48_Tematicos/MapServer/5</t>
  </si>
  <si>
    <t xml:space="preserve">POT (Acuerdo 48 de 2014), adoptado el 17 de diciembre de 2014</t>
  </si>
  <si>
    <t xml:space="preserve">POT de 2014.</t>
  </si>
  <si>
    <t>F072</t>
  </si>
  <si>
    <t xml:space="preserve">Tratamientos urbanos y altura normativa</t>
  </si>
  <si>
    <t>https://www.medellin.gov.co/servidormapas/rest/services/ordenamiento_ter/VM_22_Tratamientos_Urbanos/MapServer/0</t>
  </si>
  <si>
    <t>F073</t>
  </si>
  <si>
    <t xml:space="preserve">Capa "POT 2025" (mapa provisional de la revisión de mediano plazo)</t>
  </si>
  <si>
    <t>https://www.medellin.gov.co/servidormapas/rest/services/ordenamiento_ter/VM_34_POT_2025/MapServer</t>
  </si>
  <si>
    <t xml:space="preserve">Consultado el 30 de septiembre de 2026</t>
  </si>
  <si>
    <t xml:space="preserve">Mapa provisional de la revisión del POT; sin carácter oficial, por eso queda «declarado».</t>
  </si>
  <si>
    <t>F074</t>
  </si>
  <si>
    <t xml:space="preserve">Bienes de interés cultural (BIC)</t>
  </si>
  <si>
    <t xml:space="preserve">Secretaría de Cultura Ciudadana · Alcaldía de Medellín</t>
  </si>
  <si>
    <t>https://www.medellin.gov.co/servidormapas/rest/services/cultura/VC_BIC_Patrimonial/MapServer/0</t>
  </si>
  <si>
    <t xml:space="preserve">Listado del POT (Acuerdo 48 de 2014), actualizado al 17 de diciembre de 2014</t>
  </si>
  <si>
    <t xml:space="preserve">Listado del POT de 2014.</t>
  </si>
  <si>
    <t>F075</t>
  </si>
  <si>
    <t xml:space="preserve">Red de Bibliotecas de Medellín</t>
  </si>
  <si>
    <t>https://www.medellin.gov.co/servidormapas/rest/services/cultura/VM_Red_Bibliotecas/MapServer/0</t>
  </si>
  <si>
    <t xml:space="preserve">Puntos de la Red de Bibliotecas.</t>
  </si>
  <si>
    <t>F076</t>
  </si>
  <si>
    <t xml:space="preserve">Sedes educativas</t>
  </si>
  <si>
    <t xml:space="preserve">Secretaría de Educación · Alcaldía de Medellín</t>
  </si>
  <si>
    <t>https://www.medellin.gov.co/servidormapas/rest/services/educacion/VC_Sedes/MapServer/0</t>
  </si>
  <si>
    <t xml:space="preserve">Directorio 2024</t>
  </si>
  <si>
    <t xml:space="preserve">Directorio 2024.</t>
  </si>
  <si>
    <t>F077</t>
  </si>
  <si>
    <t xml:space="preserve">Equipamientos del POT</t>
  </si>
  <si>
    <t xml:space="preserve">Área Metropolitana del Valle de Aburrá · Portal IDEM (POT de Medellín)</t>
  </si>
  <si>
    <t>https://portalidem.metropol.gov.co/server/rest/services/DISTRITO_MEDELLIN_POT/MapServer/7</t>
  </si>
  <si>
    <t xml:space="preserve">POT (Acuerdo 48 de 2014), capa vigente</t>
  </si>
  <si>
    <t>F078</t>
  </si>
  <si>
    <t xml:space="preserve">Espacio verde urbano (EVU) del Sistema Árbol Urbano</t>
  </si>
  <si>
    <t xml:space="preserve">Área Metropolitana del Valle de Aburrá y Universidad Nacional (Alcaldía de Medellín)</t>
  </si>
  <si>
    <t>https://www.medellin.gov.co/servidormapas/rest/services/ambiente_dllo_sost/VA_SistemaArbolUrbano_Base/MapServer/5</t>
  </si>
  <si>
    <t xml:space="preserve">Inventario de 2019 (ortofotos de 2016 a 2019) · Inventario de 2019 (ortofotos de 2016 a 2019); población 2026</t>
  </si>
  <si>
    <t xml:space="preserve">Inventario de 2019 hecho con ortofotos de 2016–2019 (Sistema Árbol Urbano).</t>
  </si>
  <si>
    <t>F079</t>
  </si>
  <si>
    <t xml:space="preserve">Inventario de espacio público de esparcimiento y encuentro (espacio público efectivo)</t>
  </si>
  <si>
    <t>https://www.medellin.gov.co/servidormapas/rest/services/ordenamiento_ter/VM_Espacio_Publico/MapServer/0</t>
  </si>
  <si>
    <t xml:space="preserve">Inventario 2023 · Inventario 2023; población 2026</t>
  </si>
  <si>
    <t xml:space="preserve">Inventario de 2023.</t>
  </si>
  <si>
    <t>F080</t>
  </si>
  <si>
    <t xml:space="preserve">PM2.5 e índice ICA por estación (promedio de 24 h)</t>
  </si>
  <si>
    <t xml:space="preserve">SIATA · Área Metropolitana del Valle de Aburrá</t>
  </si>
  <si>
    <t>https://geoportal.siata.gov.co/fastgeoapi/geodata/geodataJson/1/pm25_minio</t>
  </si>
  <si>
    <t xml:space="preserve">Valle de Aburrá, por estación</t>
  </si>
  <si>
    <t xml:space="preserve">Red en operación</t>
  </si>
  <si>
    <t xml:space="preserve">Geoportal del SIATA; los endpoints se ubicaron con ayuda de IA y se probaron con curl</t>
  </si>
  <si>
    <t xml:space="preserve">Promedio de 24 h por estación.</t>
  </si>
  <si>
    <t>F081</t>
  </si>
  <si>
    <t xml:space="preserve">Pluviómetros con acumulado de lluvia</t>
  </si>
  <si>
    <t>https://geoportal.siata.gov.co/fastgeoapi/geodata/geodataJson/3/pluvios_v2</t>
  </si>
  <si>
    <t xml:space="preserve">Valle de Aburrá, por pluviómetro</t>
  </si>
  <si>
    <t xml:space="preserve">Acumulados de lluvia.</t>
  </si>
  <si>
    <t>F082</t>
  </si>
  <si>
    <t xml:space="preserve">Nivel de quebradas y del río Medellín</t>
  </si>
  <si>
    <t>https://geoportal.siata.gov.co/fastgeoapi/geodata/geodataJson/2/niveles</t>
  </si>
  <si>
    <t xml:space="preserve">Nivel de quebradas y del río.</t>
  </si>
  <si>
    <t>F083</t>
  </si>
  <si>
    <t xml:space="preserve">Temperatura, viento y humedad por estación</t>
  </si>
  <si>
    <t>https://geoportal.siata.gov.co/fastgeoapi/geodata/geodataJson/3/tempVient</t>
  </si>
  <si>
    <t xml:space="preserve">Temperatura, viento y humedad.</t>
  </si>
  <si>
    <t>F084</t>
  </si>
  <si>
    <t xml:space="preserve">Red oficial de ruido (promedio de 7 días)</t>
  </si>
  <si>
    <t>https://geoportal.siata.gov.co/fastgeoapi/geodata/geodataJson/1/ruido_oficial</t>
  </si>
  <si>
    <t xml:space="preserve">Promedio de 7 días.</t>
  </si>
  <si>
    <t>F085</t>
  </si>
  <si>
    <t xml:space="preserve">Alertas activas del geoportal ciudadano</t>
  </si>
  <si>
    <t>https://geoportal.siata.gov.co/fastgeoapi/alerts/active/citizen</t>
  </si>
  <si>
    <t xml:space="preserve">Alertas ciudadanas activas; se leen en vivo.</t>
  </si>
  <si>
    <t>F086</t>
  </si>
  <si>
    <t xml:space="preserve">Sismos de magnitud 4 o más a menos de 300 km de Medellín</t>
  </si>
  <si>
    <t xml:space="preserve">Servicio Geológico de Estados Unidos (USGS) · web service FDSN</t>
  </si>
  <si>
    <t>https://earthquake.usgs.gov/fdsnws/event/1/query?format=geojson&amp;starttime=2000-01-01&amp;latitude=6.2476&amp;longitude=-75.5686&amp;maxradiuskm=300&amp;minmagnitude=4&amp;orderby=time</t>
  </si>
  <si>
    <t xml:space="preserve">Dominio público (USGS)</t>
  </si>
  <si>
    <t xml:space="preserve">Radio de 300 km alrededor de Medellín</t>
  </si>
  <si>
    <t xml:space="preserve">2000 – 2026</t>
  </si>
  <si>
    <t xml:space="preserve">Servicio FDSN del USGS, sugerido por la IA</t>
  </si>
  <si>
    <t xml:space="preserve">Solo sismos de magnitud 4 o más desde el año 2000.</t>
  </si>
  <si>
    <t>F087</t>
  </si>
  <si>
    <t xml:space="preserve">Mapa de ruido del Valle de Aburrá (isófonas de ruido total, día y noche)</t>
  </si>
  <si>
    <t>https://portalidem.metropol.gov.co/server/rest/services/Hosted/AMVA_GESTION_DEL_RUIDO/FeatureServer</t>
  </si>
  <si>
    <t xml:space="preserve">Estudio del AMVA</t>
  </si>
  <si>
    <t xml:space="preserve">Resultado de un estudio del AMVA; por eso queda «declarado».</t>
  </si>
  <si>
    <t>F088</t>
  </si>
  <si>
    <t xml:space="preserve">Luces nocturnas VIIRS (Day/Night Band, radiancia diaria)</t>
  </si>
  <si>
    <t xml:space="preserve">NASA · Global Imagery Browse Services (GIBS)</t>
  </si>
  <si>
    <t>https://gibs.earthdata.nasa.gov/wmts/epsg3857/best/VIIRS_SNPP_DayNightBand_At_Sensor_Radiance/default/default/GoogleMapsCompatible_Level8/0/0/0.png</t>
  </si>
  <si>
    <t xml:space="preserve">Uso abierto sin restricciones (NASA EOSDIS)</t>
  </si>
  <si>
    <t xml:space="preserve">Servicio WMTS de NASA GIBS, sugerido por la IA</t>
  </si>
  <si>
    <t xml:space="preserve">Teselas hasta el nivel 8 (~2 km por píxel).</t>
  </si>
  <si>
    <t>F089</t>
  </si>
  <si>
    <t xml:space="preserve">Mosaico Sentinel-2 sin nubes (s2cloudless 2023)</t>
  </si>
  <si>
    <t xml:space="preserve">EOX IT Services · ESA Sentinel-2</t>
  </si>
  <si>
    <t>https://tiles.maps.eox.at/wmts/1.0.0/s2cloudless-2023_3857/default/g/0/0/0.jpg</t>
  </si>
  <si>
    <t xml:space="preserve">CC BY-NC-SA 4.0</t>
  </si>
  <si>
    <t xml:space="preserve">Mosaico s2cloudless de EOX, sugerido por la IA</t>
  </si>
  <si>
    <t xml:space="preserve">Solo uso no comercial; se usa la versión de 2023.</t>
  </si>
  <si>
    <t>F090</t>
  </si>
  <si>
    <t xml:space="preserve">Vistas mensuales de artículos (Pageviews API, agent=user)</t>
  </si>
  <si>
    <t>https://wikimedia.org/api/rest_v1/metrics/pageviews/per-article/es.wikipedia/all-access/user/Medell%C3%ADn/monthly/2015070100/2026093000</t>
  </si>
  <si>
    <t xml:space="preserve">Global, por artículo (Medellín)</t>
  </si>
  <si>
    <t xml:space="preserve">jul 2015 – sep 2026</t>
  </si>
  <si>
    <t>2026-10-02</t>
  </si>
  <si>
    <t xml:space="preserve">API de métricas de Wikimedia, sugerida por la IA y probada con curl</t>
  </si>
  <si>
    <t xml:space="preserve">Cuenta personas, no bots (agente «user»); rezago de unos días tras cada mes.</t>
  </si>
  <si>
    <t>F091</t>
  </si>
  <si>
    <t xml:space="preserve">Artículos que nombran a Medellín por día (DOC API 2.0, timelinevolraw)</t>
  </si>
  <si>
    <t xml:space="preserve">GDELT Project</t>
  </si>
  <si>
    <t>https://api.gdeltproject.org/api/v2/doc/doc?query=%28medell%C3%ADn+OR+medellin%29&amp;mode=timelinevolraw&amp;timespan=3m</t>
  </si>
  <si>
    <t xml:space="preserve">Uso libre citando a GDELT (sin licencia formal)</t>
  </si>
  <si>
    <t xml:space="preserve">Global, prensa que nombra a Medellín</t>
  </si>
  <si>
    <t xml:space="preserve">5 jul 2026 – 2 oct 2026</t>
  </si>
  <si>
    <t xml:space="preserve">API DOC 2.0 de GDELT, sugerida por la IA</t>
  </si>
  <si>
    <t xml:space="preserve">Cuenta artículos de medios en múltiples idiomas; sesgo hacia prensa en línea.</t>
  </si>
  <si>
    <t>F092</t>
  </si>
  <si>
    <t xml:space="preserve">Artículos más relevantes que nombran a Medellín (DOC API 2.0, artlist)</t>
  </si>
  <si>
    <t>https://api.gdeltproject.org/api/v2/doc/doc?query=%28medell%C3%ADn+OR+medellin%29&amp;mode=artlist&amp;sort=hybridrel&amp;maxrecords=250&amp;timespan=1m</t>
  </si>
  <si>
    <t xml:space="preserve">Uso libre citando a GDELT (sin licencia formal); los titulares son de cada medio</t>
  </si>
  <si>
    <t xml:space="preserve">Texto libre sin revisar</t>
  </si>
  <si>
    <t xml:space="preserve">Los titulares pueden nombrar personas; no se revisan uno a uno.</t>
  </si>
  <si>
    <t xml:space="preserve">2. Diccionario de datos</t>
  </si>
  <si>
    <t xml:space="preserve">Una fila por campo que quedó en el lago. Si un campo del lago no aparece aquí, no existe.</t>
  </si>
  <si>
    <t xml:space="preserve">Archivo o tabla en el lago</t>
  </si>
  <si>
    <t xml:space="preserve">Nombre del campo en el lago</t>
  </si>
  <si>
    <t xml:space="preserve">Nombre original en la fuente</t>
  </si>
  <si>
    <t xml:space="preserve">Qué significa (en una frase)</t>
  </si>
  <si>
    <t xml:space="preserve">Tipo de dato</t>
  </si>
  <si>
    <t xml:space="preserve">Unidad de medida</t>
  </si>
  <si>
    <t xml:space="preserve">Ejemplo de valor</t>
  </si>
  <si>
    <t xml:space="preserve">¿Puede venir vacío?</t>
  </si>
  <si>
    <t xml:space="preserve">Valores permitidos o rango</t>
  </si>
  <si>
    <t>Clasificación</t>
  </si>
  <si>
    <t xml:space="preserve">Transformación que le hicieron</t>
  </si>
  <si>
    <t xml:space="preserve">Pregunta del sistema que ayuda a responder</t>
  </si>
  <si>
    <t>lago/escucha.json</t>
  </si>
  <si>
    <t>vistas_ultimo_mes</t>
  </si>
  <si>
    <t>views</t>
  </si>
  <si>
    <t xml:space="preserve">Vistas del artículo de la ciudad hechas por personas en el último mes completo</t>
  </si>
  <si>
    <t>Entero</t>
  </si>
  <si>
    <t xml:space="preserve">vistas de personas</t>
  </si>
  <si>
    <t>19552</t>
  </si>
  <si>
    <t xml:space="preserve">≥ 0</t>
  </si>
  <si>
    <t>Pública</t>
  </si>
  <si>
    <t xml:space="preserve">Se toma el último mes de la serie; la fecha AAAAMMDD se pasa a AAAA-MM</t>
  </si>
  <si>
    <t xml:space="preserve">¿Cuánto interés despierta la ciudad fuera de ella y cómo cambia en el año?</t>
  </si>
  <si>
    <t>lago/seguridad.json</t>
  </si>
  <si>
    <t>cifras.&lt;clave&gt;.valor</t>
  </si>
  <si>
    <t xml:space="preserve">Cifra puntual de un indicador: un conteo, una tasa, un porcentaje o una magnitud (misma estructura en los 12 archivos)</t>
  </si>
  <si>
    <t>Decimal</t>
  </si>
  <si>
    <t xml:space="preserve">según «unidad»</t>
  </si>
  <si>
    <t>333</t>
  </si>
  <si>
    <t>Sí</t>
  </si>
  <si>
    <t xml:space="preserve">Número; nulo si la fuente no publica el dato</t>
  </si>
  <si>
    <t xml:space="preserve">Se agrega la fuente cruda al nivel de Medellín y se redondea según «decimales»</t>
  </si>
  <si>
    <t xml:space="preserve">¿Cuánto vale hoy cada indicador de la ciudad?</t>
  </si>
  <si>
    <t>cifras.&lt;clave&gt;.unidad</t>
  </si>
  <si>
    <t xml:space="preserve">Unidad en que se expresa el valor</t>
  </si>
  <si>
    <t>Texto</t>
  </si>
  <si>
    <t>n/a</t>
  </si>
  <si>
    <t xml:space="preserve">por 100 mil hab.</t>
  </si>
  <si>
    <t xml:space="preserve">casos, habitantes, %, ha, $/m², por 100 mil hab., etc.</t>
  </si>
  <si>
    <t xml:space="preserve">Se asigna al definir el indicador</t>
  </si>
  <si>
    <t xml:space="preserve">¿En qué unidad está cada cifra?</t>
  </si>
  <si>
    <t>cifras.&lt;clave&gt;.etiqueta</t>
  </si>
  <si>
    <t xml:space="preserve">Nombre legible del indicador que se muestra en pantalla</t>
  </si>
  <si>
    <t xml:space="preserve">Homicidios 2025</t>
  </si>
  <si>
    <t xml:space="preserve">Texto libre en español</t>
  </si>
  <si>
    <t xml:space="preserve">Se redacta e incluye el año o periodo</t>
  </si>
  <si>
    <t xml:space="preserve">¿Cómo se llama el indicador?</t>
  </si>
  <si>
    <t>cifras.&lt;clave&gt;.fuente</t>
  </si>
  <si>
    <t xml:space="preserve">ID de la fuente en el catálogo de la que sale la cifra; une el lago con la hoja 1</t>
  </si>
  <si>
    <t>Código</t>
  </si>
  <si>
    <t>policia-homicidios</t>
  </si>
  <si>
    <t xml:space="preserve">Un id presente en lago/catalogo.json</t>
  </si>
  <si>
    <t xml:space="preserve">Se asigna al calcular la cifra</t>
  </si>
  <si>
    <t xml:space="preserve">¿De dónde sale cada número y puede rastrearse?</t>
  </si>
  <si>
    <t>cifras.&lt;clave&gt;.vigencia</t>
  </si>
  <si>
    <t xml:space="preserve">Periodo o corte al que corresponde el dato</t>
  </si>
  <si>
    <t>2025</t>
  </si>
  <si>
    <t xml:space="preserve">Año, rango o fecha de corte</t>
  </si>
  <si>
    <t xml:space="preserve">Se toma del último periodo completo de la serie</t>
  </si>
  <si>
    <t xml:space="preserve">¿De qué fecha es el dato?</t>
  </si>
  <si>
    <t>cifras.&lt;clave&gt;.estado</t>
  </si>
  <si>
    <t xml:space="preserve">Cómo se obtuvo el dato: observado (leído de la fuente), declarado (sin verificar) o derivado (calculado por nosotros)</t>
  </si>
  <si>
    <t>observado</t>
  </si>
  <si>
    <t xml:space="preserve">observado, declarado, derivado</t>
  </si>
  <si>
    <t xml:space="preserve">Se asigna según si se leyó o se calculó</t>
  </si>
  <si>
    <t xml:space="preserve">¿Qué tanto se puede confiar en cada cifra?</t>
  </si>
  <si>
    <t>cifras.&lt;clave&gt;.nota</t>
  </si>
  <si>
    <t xml:space="preserve">Advertencia o aclaración sobre el dato (por ejemplo, año parcial)</t>
  </si>
  <si>
    <t xml:space="preserve">2026 parcial: hasta el 2026-08-29.</t>
  </si>
  <si>
    <t xml:space="preserve">Texto libre</t>
  </si>
  <si>
    <t xml:space="preserve">Se redacta al detectar un caso especial</t>
  </si>
  <si>
    <t xml:space="preserve">¿Hay algo que deba saber antes de usar el dato?</t>
  </si>
  <si>
    <t>series.&lt;clave&gt;.puntos</t>
  </si>
  <si>
    <t xml:space="preserve">Serie de tiempo como lista de pares [periodo, valor] (misma estructura en los 12 archivos)</t>
  </si>
  <si>
    <t xml:space="preserve">["2018", 625]</t>
  </si>
  <si>
    <t xml:space="preserve">Lista de pares; el periodo puede ser año, mes, trimestre o día</t>
  </si>
  <si>
    <t xml:space="preserve">Se agrupan los eventos por periodo y se ordenan cronológicamente</t>
  </si>
  <si>
    <t xml:space="preserve">¿Cómo ha cambiado el indicador en el tiempo?</t>
  </si>
  <si>
    <t>probado</t>
  </si>
  <si>
    <t xml:space="preserve">Fecha en que corrió la ingesta y respondieron las fuentes del tema</t>
  </si>
  <si>
    <t>Fecha</t>
  </si>
  <si>
    <t>AAAA-MM-DD</t>
  </si>
  <si>
    <t xml:space="preserve">Se escribe la fecha del día de la corrida</t>
  </si>
  <si>
    <t xml:space="preserve">¿Qué tan fresco es el archivo?</t>
  </si>
  <si>
    <t>territorios[].codigo</t>
  </si>
  <si>
    <t xml:space="preserve">Código de la comuna o corregimiento (01–16 comunas, 50–90 corregimientos); estructura repetida en 7 archivos</t>
  </si>
  <si>
    <t>01</t>
  </si>
  <si>
    <t xml:space="preserve">Texto de 2 dígitos</t>
  </si>
  <si>
    <t xml:space="preserve">Se normaliza el nombre de cada fuente al código oficial del catastro</t>
  </si>
  <si>
    <t xml:space="preserve">¿En qué comuna o corregimiento ocurre el fenómeno?</t>
  </si>
  <si>
    <t>territorios[].valores</t>
  </si>
  <si>
    <t xml:space="preserve">Valores de cada indicador del territorio, organizados por clave y periodo</t>
  </si>
  <si>
    <t xml:space="preserve">según el indicador</t>
  </si>
  <si>
    <t xml:space="preserve">{"2021–2023": 37}</t>
  </si>
  <si>
    <t xml:space="preserve">Objeto {indicador: {periodo: número}}</t>
  </si>
  <si>
    <t xml:space="preserve">Se cuentan los eventos con comuna y se divide por la población para las tasas</t>
  </si>
  <si>
    <t xml:space="preserve">¿Cómo se comparan las comunas entre sí?</t>
  </si>
  <si>
    <t>cifras.homicidios.valor</t>
  </si>
  <si>
    <t xml:space="preserve">Homicidios de Medellín en el último año completo (igual para hurto, extorsión, violencia intrafamiliar, delitos sexuales y lesiones)</t>
  </si>
  <si>
    <t>casos</t>
  </si>
  <si>
    <t xml:space="preserve">Se filtra Medellín y se cuentan los eventos del año</t>
  </si>
  <si>
    <t xml:space="preserve">¿Cuántos homicidios hubo en Medellín?</t>
  </si>
  <si>
    <t>cifras.homicidios_variacion.valor</t>
  </si>
  <si>
    <t xml:space="preserve">Cambio porcentual de los homicidios entre el año en curso y el mismo periodo del año anterior</t>
  </si>
  <si>
    <t>%</t>
  </si>
  <si>
    <t>-20.0</t>
  </si>
  <si>
    <t xml:space="preserve">Número, positivo o negativo</t>
  </si>
  <si>
    <t xml:space="preserve">(casos del año en curso − casos del mismo periodo previo) / casos del periodo previo × 100</t>
  </si>
  <si>
    <t xml:space="preserve">¿La violencia sube o baja frente al año pasado?</t>
  </si>
  <si>
    <t>cifras.homicidios_tasa.valor</t>
  </si>
  <si>
    <t xml:space="preserve">Homicidios por cada 100 mil habitantes, para comparar con otras ciudades</t>
  </si>
  <si>
    <t>13.17</t>
  </si>
  <si>
    <t xml:space="preserve">casos / población proyectada DANE × 100 000</t>
  </si>
  <si>
    <t xml:space="preserve">¿Qué tan alta es la tasa frente a ciudades de distinto tamaño?</t>
  </si>
  <si>
    <t>cifras.hurto_personas.valor</t>
  </si>
  <si>
    <t xml:space="preserve">Hurtos a personas en el último año completo</t>
  </si>
  <si>
    <t>24924</t>
  </si>
  <si>
    <t xml:space="preserve">¿Cuánto hurto a personas hay en la ciudad?</t>
  </si>
  <si>
    <t>cifras.violencia_intrafamiliar.valor</t>
  </si>
  <si>
    <t xml:space="preserve">Casos de violencia intrafamiliar en el último año completo; se publican sin datos de las víctimas</t>
  </si>
  <si>
    <t>10638</t>
  </si>
  <si>
    <t xml:space="preserve">¿Qué tan frecuente es la violencia dentro del hogar?</t>
  </si>
  <si>
    <t>series.homicidios_mensual.puntos</t>
  </si>
  <si>
    <t xml:space="preserve">Homicidios por mes, para ver estacionalidad y tendencia reciente</t>
  </si>
  <si>
    <t xml:space="preserve">["2024-01", 26]</t>
  </si>
  <si>
    <t xml:space="preserve">Pares [AAAA-MM, casos]</t>
  </si>
  <si>
    <t xml:space="preserve">La fecha del hecho se pasa a AAAA-MM y se cuenta por mes</t>
  </si>
  <si>
    <t xml:space="preserve">¿Hay meses más violentos que otros?</t>
  </si>
  <si>
    <t>listas.sisc_ranking_homicidio[].casos</t>
  </si>
  <si>
    <t xml:space="preserve">Homicidios por comuna entre 2021 y 2023 (histórico del SISC), ordenados de mayor a menor</t>
  </si>
  <si>
    <t>225</t>
  </si>
  <si>
    <t xml:space="preserve">Se asigna cada evento a su comuna diligenciada y se cuenta</t>
  </si>
  <si>
    <t xml:space="preserve">¿Dónde se concentra el delito?</t>
  </si>
  <si>
    <t>listas.sisc_ranking_homicidio[].tasa_x10mil</t>
  </si>
  <si>
    <t xml:space="preserve">Casos por cada 10 mil habitantes de la comuna en 2021–2023</t>
  </si>
  <si>
    <t xml:space="preserve">por 10 mil hab.</t>
  </si>
  <si>
    <t>27.81</t>
  </si>
  <si>
    <t xml:space="preserve">casos / población de la comuna × 10 000</t>
  </si>
  <si>
    <t xml:space="preserve">¿Qué comunas son más inseguras al ajustar por población?</t>
  </si>
  <si>
    <t>lago/demografia.json</t>
  </si>
  <si>
    <t>cifras.poblacion.valor</t>
  </si>
  <si>
    <t xml:space="preserve">Habitantes proyectados de Medellín para el año en curso</t>
  </si>
  <si>
    <t>habitantes</t>
  </si>
  <si>
    <t>2526795</t>
  </si>
  <si>
    <t xml:space="preserve">&gt; 0</t>
  </si>
  <si>
    <t xml:space="preserve">Se toma la fila de Medellín y el año vigente de la hoja de proyecciones</t>
  </si>
  <si>
    <t xml:space="preserve">¿Cuántas personas viven en la ciudad?</t>
  </si>
  <si>
    <t>cifras.poblacion_rural.valor</t>
  </si>
  <si>
    <t xml:space="preserve">Habitantes en centros poblados y rural disperso</t>
  </si>
  <si>
    <t>48578</t>
  </si>
  <si>
    <t xml:space="preserve">Se toma la columna de población rural de Medellín</t>
  </si>
  <si>
    <t xml:space="preserve">¿Qué parte de la población vive en zona rural?</t>
  </si>
  <si>
    <t>cifras.participacion_medellin_amva.valor</t>
  </si>
  <si>
    <t xml:space="preserve">Parte de la población del Valle de Aburrá que vive en Medellín</t>
  </si>
  <si>
    <t>60.0</t>
  </si>
  <si>
    <t>0–100</t>
  </si>
  <si>
    <t xml:space="preserve">población de Medellín / población del AMVA × 100</t>
  </si>
  <si>
    <t xml:space="preserve">¿Qué tanto pesa Medellín en el área metropolitana?</t>
  </si>
  <si>
    <t>cifras.edad_mediana.valor</t>
  </si>
  <si>
    <t xml:space="preserve">Edad que divide a la población en dos mitades iguales</t>
  </si>
  <si>
    <t>años</t>
  </si>
  <si>
    <t>35</t>
  </si>
  <si>
    <t xml:space="preserve">Se calcula sobre la población por edad simple</t>
  </si>
  <si>
    <t xml:space="preserve">¿Qué tan envejecida está la ciudad?</t>
  </si>
  <si>
    <t>cifras.poblacion_60_mas.valor</t>
  </si>
  <si>
    <t xml:space="preserve">Parte de la población con 60 años o más</t>
  </si>
  <si>
    <t>18.7</t>
  </si>
  <si>
    <t xml:space="preserve">personas de 60+ / población total × 100</t>
  </si>
  <si>
    <t xml:space="preserve">¿Cuánta población mayor requiere servicios de cuidado y salud?</t>
  </si>
  <si>
    <t>listas.piramide[].hombres</t>
  </si>
  <si>
    <t xml:space="preserve">Hombres de cada grupo quinquenal de edad en un año</t>
  </si>
  <si>
    <t>72886</t>
  </si>
  <si>
    <t xml:space="preserve">Las edades simples se agrupan en tramos de 5 años</t>
  </si>
  <si>
    <t xml:space="preserve">¿Cómo está compuesta la población por edad y sexo?</t>
  </si>
  <si>
    <t>listas.piramide[].mujeres</t>
  </si>
  <si>
    <t xml:space="preserve">Mujeres de cada grupo quinquenal de edad en un año</t>
  </si>
  <si>
    <t>69873</t>
  </si>
  <si>
    <t>series.poblacion_total.puntos</t>
  </si>
  <si>
    <t xml:space="preserve">Población proyectada de Medellín de 2018 a 2042</t>
  </si>
  <si>
    <t xml:space="preserve">[2018, 2427133]</t>
  </si>
  <si>
    <t xml:space="preserve">Pares [año, habitantes]</t>
  </si>
  <si>
    <t xml:space="preserve">Se toma una fila por año de la hoja de proyecciones</t>
  </si>
  <si>
    <t xml:space="preserve">¿Va a crecer o a decrecer la población?</t>
  </si>
  <si>
    <t>cifras.hogares.valor</t>
  </si>
  <si>
    <t xml:space="preserve">Hogares proyectados de Medellín</t>
  </si>
  <si>
    <t>hogares</t>
  </si>
  <si>
    <t>1074266</t>
  </si>
  <si>
    <t xml:space="preserve">Se suman los valores por comuna y corregimiento</t>
  </si>
  <si>
    <t xml:space="preserve">¿Cuántos hogares necesitan vivienda y servicios?</t>
  </si>
  <si>
    <t>cifras.personas_por_hogar.valor</t>
  </si>
  <si>
    <t xml:space="preserve">Tamaño promedio del hogar</t>
  </si>
  <si>
    <t>personas</t>
  </si>
  <si>
    <t>2.6</t>
  </si>
  <si>
    <t xml:space="preserve">población proyectada / hogares proyectados</t>
  </si>
  <si>
    <t xml:space="preserve">¿Qué tan grandes son los hogares?</t>
  </si>
  <si>
    <t>cifras.manzanas_estrato_1.valor</t>
  </si>
  <si>
    <t xml:space="preserve">Parte de las manzanas de la ciudad que son de estrato 1</t>
  </si>
  <si>
    <t>21.6</t>
  </si>
  <si>
    <t xml:space="preserve">manzanas de estrato 1 / manzanas estratificadas × 100</t>
  </si>
  <si>
    <t xml:space="preserve">¿Qué tan desigual es la ciudad por estrato?</t>
  </si>
  <si>
    <t>cifras.natalidad_total.valor</t>
  </si>
  <si>
    <t xml:space="preserve">Nacidos vivos de Medellín en el último año publicado</t>
  </si>
  <si>
    <t xml:space="preserve">nacidos vivos</t>
  </si>
  <si>
    <t>21658</t>
  </si>
  <si>
    <t xml:space="preserve">Se suman los valores de todas las comunas y corregimientos</t>
  </si>
  <si>
    <t xml:space="preserve">¿Cuántos nacimientos hay y dónde?</t>
  </si>
  <si>
    <t>cifras.mortalidad_total.valor</t>
  </si>
  <si>
    <t xml:space="preserve">Defunciones de Medellín en el último año publicado</t>
  </si>
  <si>
    <t>defunciones</t>
  </si>
  <si>
    <t>16962</t>
  </si>
  <si>
    <t xml:space="preserve">¿Cuántas muertes hay y dónde?</t>
  </si>
  <si>
    <t>lago/economia.json</t>
  </si>
  <si>
    <t>cifras.desempleo.valor</t>
  </si>
  <si>
    <t xml:space="preserve">Porcentaje de la población activa que busca empleo y no lo tiene</t>
  </si>
  <si>
    <t>6.97</t>
  </si>
  <si>
    <t xml:space="preserve">Se toma el último trimestre móvil de la hoja de Medellín A.M.</t>
  </si>
  <si>
    <t xml:space="preserve">¿Cuánto desempleo hay hoy?</t>
  </si>
  <si>
    <t>series.desempleo_trimestral.puntos</t>
  </si>
  <si>
    <t xml:space="preserve">Desempleo trimestre a trimestre desde 2007</t>
  </si>
  <si>
    <t xml:space="preserve">["ene–mar 2007", 14.82]</t>
  </si>
  <si>
    <t xml:space="preserve">Pares [trimestre móvil, %]</t>
  </si>
  <si>
    <t xml:space="preserve">Se leen las filas de la hoja y se arma un par por trimestre</t>
  </si>
  <si>
    <t xml:space="preserve">¿Cómo ha evolucionado el empleo en el tiempo?</t>
  </si>
  <si>
    <t>listas.vivienda_por_estrato[].venta_m2</t>
  </si>
  <si>
    <t xml:space="preserve">Mediana del precio de oferta por m² de vivienda en venta, por estrato</t>
  </si>
  <si>
    <t>$/m²</t>
  </si>
  <si>
    <t>1186050</t>
  </si>
  <si>
    <t xml:space="preserve">Se calcula la mediana de precio/m² por estrato y año</t>
  </si>
  <si>
    <t xml:space="preserve">¿Cuánto cuesta comprar vivienda según el estrato?</t>
  </si>
  <si>
    <t>listas.vivienda_por_estrato[].rentabilidad_bruta</t>
  </si>
  <si>
    <t xml:space="preserve">Arriendo anual como porcentaje del precio de venta</t>
  </si>
  <si>
    <t>18.16</t>
  </si>
  <si>
    <t xml:space="preserve">arriendo por m² × 12 / venta por m² × 100</t>
  </si>
  <si>
    <t xml:space="preserve">¿Qué tan rentable es invertir en vivienda?</t>
  </si>
  <si>
    <t>cifras.valor_suelo_mediana.valor</t>
  </si>
  <si>
    <t xml:space="preserve">Mediana del valor catastral del suelo entre las zonas de la ciudad</t>
  </si>
  <si>
    <t>705000</t>
  </si>
  <si>
    <t xml:space="preserve">Se calcula la mediana de las zonas de valor</t>
  </si>
  <si>
    <t xml:space="preserve">¿Cuánto vale el suelo?</t>
  </si>
  <si>
    <t>cifras.licencias_ventana.valor</t>
  </si>
  <si>
    <t xml:space="preserve">Licencias urbanísticas expedidas en los últimos 5 años con datos</t>
  </si>
  <si>
    <t>licencias</t>
  </si>
  <si>
    <t>15493</t>
  </si>
  <si>
    <t xml:space="preserve">Se cuentan las licencias de la ventana de años</t>
  </si>
  <si>
    <t xml:space="preserve">¿Cuánta construcción se está autorizando?</t>
  </si>
  <si>
    <t>cifras.establecimientos_ica.valor</t>
  </si>
  <si>
    <t xml:space="preserve">Contribuyentes activos de Industria y Comercio</t>
  </si>
  <si>
    <t>contratos</t>
  </si>
  <si>
    <t>443241</t>
  </si>
  <si>
    <t xml:space="preserve">Se cuentan los registros activos; no se guardan nombres</t>
  </si>
  <si>
    <t xml:space="preserve">¿Qué tan grande es el tejido comercial?</t>
  </si>
  <si>
    <t>listas.empresas_por_sector[].empresas</t>
  </si>
  <si>
    <t xml:space="preserve">Empresas matriculadas en la Cámara de Comercio por sector económico</t>
  </si>
  <si>
    <t>empresas</t>
  </si>
  <si>
    <t>36709</t>
  </si>
  <si>
    <t xml:space="preserve">Se suman las comunas y se agrupan las actividades por sector</t>
  </si>
  <si>
    <t xml:space="preserve">¿De qué vive la ciudad?</t>
  </si>
  <si>
    <t>lago/turismo.json</t>
  </si>
  <si>
    <t>cifras.visitantes_extranjeros.valor</t>
  </si>
  <si>
    <t xml:space="preserve">Visitantes extranjeros no residentes con destino Medellín en el último año completo</t>
  </si>
  <si>
    <t>1143678</t>
  </si>
  <si>
    <t xml:space="preserve">Se filtra Medellín y se suman los meses del año</t>
  </si>
  <si>
    <t xml:space="preserve">¿Cuántos extranjeros visitan la ciudad?</t>
  </si>
  <si>
    <t>listas.paises_origen[].valor</t>
  </si>
  <si>
    <t xml:space="preserve">Visitantes extranjeros por país de origen</t>
  </si>
  <si>
    <t>378326</t>
  </si>
  <si>
    <t xml:space="preserve">Se agrupa por país y se dejan los de mayor número</t>
  </si>
  <si>
    <t xml:space="preserve">¿De dónde vienen los turistas?</t>
  </si>
  <si>
    <t>cifras.pasajeros_aeropuerto.valor</t>
  </si>
  <si>
    <t xml:space="preserve">Pasajeros del aeropuerto José María Córdova en el último año completo</t>
  </si>
  <si>
    <t>pasajeros</t>
  </si>
  <si>
    <t>13261826</t>
  </si>
  <si>
    <t xml:space="preserve">Se suman las rutas con origen o destino en el aeropuerto</t>
  </si>
  <si>
    <t xml:space="preserve">¿Cuánto tráfico aéreo recibe la ciudad?</t>
  </si>
  <si>
    <t>cifras.ocupacion_hotelera_ultima.valor</t>
  </si>
  <si>
    <t xml:space="preserve">Ocupación hotelera del último mes publicado (octubre de 2023)</t>
  </si>
  <si>
    <t>67.1</t>
  </si>
  <si>
    <t xml:space="preserve">Se toma el último mes de la serie histórica</t>
  </si>
  <si>
    <t xml:space="preserve">¿Qué tan llenos están los hoteles?</t>
  </si>
  <si>
    <t>listas.museos_por_lugar[].visitas</t>
  </si>
  <si>
    <t xml:space="preserve">Visitas de un museo en 2022</t>
  </si>
  <si>
    <t>visitas</t>
  </si>
  <si>
    <t>183072</t>
  </si>
  <si>
    <t xml:space="preserve">Se suman los 12 meses de 2022 por museo</t>
  </si>
  <si>
    <t xml:space="preserve">¿Qué museos atraen más público?</t>
  </si>
  <si>
    <t>listas.sitios_por_lugar[].visitas</t>
  </si>
  <si>
    <t xml:space="preserve">Visitas de un sitio de interés en 2022</t>
  </si>
  <si>
    <t>2456359</t>
  </si>
  <si>
    <t xml:space="preserve">Se suman los 12 meses de 2022 por sitio</t>
  </si>
  <si>
    <t xml:space="preserve">¿Qué sitios atraen más público?</t>
  </si>
  <si>
    <t>cifras.atractivos_turisticos.valor</t>
  </si>
  <si>
    <t xml:space="preserve">Atractivos turísticos registrados por la Alcaldía</t>
  </si>
  <si>
    <t>atractivos</t>
  </si>
  <si>
    <t>92</t>
  </si>
  <si>
    <t xml:space="preserve">Se cuentan los puntos de la capa</t>
  </si>
  <si>
    <t xml:space="preserve">¿Qué oferta turística hay?</t>
  </si>
  <si>
    <t>cifras.hospedajes_osm.valor</t>
  </si>
  <si>
    <t xml:space="preserve">Hospedajes mapeados en OpenStreetMap: hoteles, hostales, apartamentos y similares</t>
  </si>
  <si>
    <t>hospedajes</t>
  </si>
  <si>
    <t>381</t>
  </si>
  <si>
    <t xml:space="preserve">Se cuentan los elementos con tourism = hotel, hostel, guest_house, apartment o motel</t>
  </si>
  <si>
    <t xml:space="preserve">¿Cuánta oferta de alojamiento hay? (cobertura incompleta por ser colaborativa)</t>
  </si>
  <si>
    <t>lago/municipio.json</t>
  </si>
  <si>
    <t>cifras.presupuesto_inicial.valor</t>
  </si>
  <si>
    <t xml:space="preserve">Presupuesto de gastos aprobado para el año actual</t>
  </si>
  <si>
    <t xml:space="preserve">billones de $</t>
  </si>
  <si>
    <t>11.84</t>
  </si>
  <si>
    <t xml:space="preserve">Se suman las cuentas de primer nivel y se pasa a billones</t>
  </si>
  <si>
    <t xml:space="preserve">¿Cuánto dinero maneja el Distrito?</t>
  </si>
  <si>
    <t>cifras.ingresos_recaudados.valor</t>
  </si>
  <si>
    <t xml:space="preserve">Ingresos recaudados por el Distrito en el último año completo</t>
  </si>
  <si>
    <t>13.173</t>
  </si>
  <si>
    <t xml:space="preserve">Se suman los recaudos de las cuentas de ingreso y se pasa a billones</t>
  </si>
  <si>
    <t xml:space="preserve">¿Cuánto recauda el Distrito?</t>
  </si>
  <si>
    <t>cifras.ejecucion_gastos.valor</t>
  </si>
  <si>
    <t xml:space="preserve">Parte del presupuesto definitivo que ya se comprometió</t>
  </si>
  <si>
    <t>95.1</t>
  </si>
  <si>
    <t xml:space="preserve">gastos comprometidos / presupuesto definitivo × 100</t>
  </si>
  <si>
    <t xml:space="preserve">¿Qué tan bien ejecuta su presupuesto la Alcaldía?</t>
  </si>
  <si>
    <t>cifras.acuerdos.valor</t>
  </si>
  <si>
    <t xml:space="preserve">Acuerdos sancionados por el Concejo en el último año</t>
  </si>
  <si>
    <t>acuerdos</t>
  </si>
  <si>
    <t>34</t>
  </si>
  <si>
    <t xml:space="preserve">Se cuentan los acuerdos por año de sanción</t>
  </si>
  <si>
    <t xml:space="preserve">¿Cuánta actividad normativa tiene el Concejo?</t>
  </si>
  <si>
    <t>cifras.inversion_comunas.valor</t>
  </si>
  <si>
    <t xml:space="preserve">Inversión pública localizada en comunas y corregimientos en 2024</t>
  </si>
  <si>
    <t>7.839</t>
  </si>
  <si>
    <t xml:space="preserve">Se suman las comunas y corregimientos y se pasa a billones</t>
  </si>
  <si>
    <t xml:space="preserve">¿Cuánto se invierte y en qué territorios?</t>
  </si>
  <si>
    <t>cifras.contratos_secop.valor</t>
  </si>
  <si>
    <t xml:space="preserve">Contratos del Distrito firmados en SECOP II en el último año completo</t>
  </si>
  <si>
    <t>1471</t>
  </si>
  <si>
    <t xml:space="preserve">Se cuentan los contratos por año de firma</t>
  </si>
  <si>
    <t xml:space="preserve">¿Cuánto contrata la Alcaldía?</t>
  </si>
  <si>
    <t>listas.secop_mayores[].valor</t>
  </si>
  <si>
    <t xml:space="preserve">Valor de uno de los contratos más grandes del año</t>
  </si>
  <si>
    <t>$</t>
  </si>
  <si>
    <t>503210859577</t>
  </si>
  <si>
    <t xml:space="preserve">Se ordenan los contratos por valor y se dejan los 10 mayores</t>
  </si>
  <si>
    <t xml:space="preserve">¿Quiénes reciben los mayores contratos?</t>
  </si>
  <si>
    <t>listas.secop_mayores[].proveedor</t>
  </si>
  <si>
    <t xml:space="preserve">Nombre del contratista; puede ser una persona natural</t>
  </si>
  <si>
    <t>BANCOLOMBIA</t>
  </si>
  <si>
    <t xml:space="preserve">Dato personal</t>
  </si>
  <si>
    <t xml:space="preserve">Se conserva solo para los 10 mayores contratos; no se guarda el documento de identidad</t>
  </si>
  <si>
    <t xml:space="preserve">¿A quién se le contrata? (revisar antes de publicar si el proveedor es persona natural)</t>
  </si>
  <si>
    <t>cifras.predial_facturado.valor</t>
  </si>
  <si>
    <t xml:space="preserve">Impuesto predial facturado en 2020</t>
  </si>
  <si>
    <t>0.751</t>
  </si>
  <si>
    <t xml:space="preserve">Se suman las comunas de cobro y se pasa a billones</t>
  </si>
  <si>
    <t xml:space="preserve">¿Cuánto aporta el predial?</t>
  </si>
  <si>
    <t>lago/servicios.json</t>
  </si>
  <si>
    <t>cifras.cobertura_acueducto.valor</t>
  </si>
  <si>
    <t xml:space="preserve">Parte de las viviendas con acueducto residencial en 2019</t>
  </si>
  <si>
    <t xml:space="preserve">% de viviendas</t>
  </si>
  <si>
    <t>95.3</t>
  </si>
  <si>
    <t xml:space="preserve">suscriptores residenciales / viviendas estimadas × 100</t>
  </si>
  <si>
    <t xml:space="preserve">¿Quién tiene agua?</t>
  </si>
  <si>
    <t>cifras.suscriptores_epm_acueducto.valor</t>
  </si>
  <si>
    <t xml:space="preserve">Suscriptores de acueducto de EPM en agosto de 2023</t>
  </si>
  <si>
    <t>suscriptores</t>
  </si>
  <si>
    <t>872157</t>
  </si>
  <si>
    <t xml:space="preserve">Se suman los usos residenciales y no residenciales del último mes</t>
  </si>
  <si>
    <t xml:space="preserve">¿Cuántos usuarios tiene el acueducto?</t>
  </si>
  <si>
    <t>cifras.epm_subsidios.valor</t>
  </si>
  <si>
    <t xml:space="preserve">Subsidios de acueducto y alcantarillado de EPM en 2022</t>
  </si>
  <si>
    <t xml:space="preserve">millones de $</t>
  </si>
  <si>
    <t>150745</t>
  </si>
  <si>
    <t xml:space="preserve">Se suman los meses de 2022</t>
  </si>
  <si>
    <t xml:space="preserve">¿Cuánto subsidia la ciudad a los estratos bajos?</t>
  </si>
  <si>
    <t>cifras.tarifa_acueducto_e1.valor</t>
  </si>
  <si>
    <t xml:space="preserve">Tarifa de acueducto por m³ del consumo básico en estrato 1</t>
  </si>
  <si>
    <t>$/m³</t>
  </si>
  <si>
    <t>1991.32</t>
  </si>
  <si>
    <t xml:space="preserve">Se toma la última tarifa vigente</t>
  </si>
  <si>
    <t xml:space="preserve">¿Cuánto paga un hogar por el agua?</t>
  </si>
  <si>
    <t>cifras.tarifa_gas_e1.valor</t>
  </si>
  <si>
    <t xml:space="preserve">Tarifa de gas natural por m³ hasta 20 m³ en estrato 1</t>
  </si>
  <si>
    <t>1605.53</t>
  </si>
  <si>
    <t xml:space="preserve">¿Cuánto paga un hogar por el gas?</t>
  </si>
  <si>
    <t>cifras.tarifa_energia_e1.valor</t>
  </si>
  <si>
    <t xml:space="preserve">Tarifa de energía por kWh en estrato 1 dentro del consumo de subsistencia</t>
  </si>
  <si>
    <t>$/kWh</t>
  </si>
  <si>
    <t>425.51</t>
  </si>
  <si>
    <t xml:space="preserve">Se copia de la página de tarifas de EPM (no hay API)</t>
  </si>
  <si>
    <t xml:space="preserve">¿Cuánto paga un hogar por la energía?</t>
  </si>
  <si>
    <t>listas.ecas[].capacidad</t>
  </si>
  <si>
    <t xml:space="preserve">Capacidad mensual de una estación de clasificación y aprovechamiento</t>
  </si>
  <si>
    <t>t/mes</t>
  </si>
  <si>
    <t>1632.0</t>
  </si>
  <si>
    <t xml:space="preserve">Se convierte a número; vacío si la ECA no la reporta</t>
  </si>
  <si>
    <t xml:space="preserve">¿Cuánta capacidad de reciclaje existe?</t>
  </si>
  <si>
    <t>listas.ecas[].suelo_compatible</t>
  </si>
  <si>
    <t xml:space="preserve">Si la ECA está en un suelo cuyo uso permite su operación</t>
  </si>
  <si>
    <t>Booleano</t>
  </si>
  <si>
    <t>False</t>
  </si>
  <si>
    <t xml:space="preserve">true / false</t>
  </si>
  <si>
    <t xml:space="preserve">Cruce espacial entre la ECA y el uso del suelo del POT</t>
  </si>
  <si>
    <t xml:space="preserve">¿Las estaciones de reciclaje están bien ubicadas?</t>
  </si>
  <si>
    <t>listas.organizaciones_recicladoras[].direccion</t>
  </si>
  <si>
    <t xml:space="preserve">Dirección de una organización de recicladores registrada</t>
  </si>
  <si>
    <t xml:space="preserve">CR 31 57B 28</t>
  </si>
  <si>
    <t xml:space="preserve">Se copia sin cambios; no se guardan teléfonos ni representantes</t>
  </si>
  <si>
    <t xml:space="preserve">¿Dónde operan los recicladores?</t>
  </si>
  <si>
    <t>cifras.internet_fijo.valor</t>
  </si>
  <si>
    <t xml:space="preserve">Accesos fijos a internet en Medellín en el último trimestre</t>
  </si>
  <si>
    <t>accesos</t>
  </si>
  <si>
    <t>866296</t>
  </si>
  <si>
    <t xml:space="preserve">Se suman los segmentos y tecnologías del último trimestre</t>
  </si>
  <si>
    <t xml:space="preserve">¿Qué tan conectada está la ciudad?</t>
  </si>
  <si>
    <t>cifras.internet_fijo_comuna.valor</t>
  </si>
  <si>
    <t xml:space="preserve">Cobertura de internet por comuna; la fuente no la publica y el valor queda vacío a propósito</t>
  </si>
  <si>
    <t>null</t>
  </si>
  <si>
    <t xml:space="preserve">Siempre nulo mientras no exista el dato</t>
  </si>
  <si>
    <t xml:space="preserve">Ninguna: se deja nulo en vez de inventarlo</t>
  </si>
  <si>
    <t xml:space="preserve">¿Hay brecha digital entre comunas? (no se puede responder aún)</t>
  </si>
  <si>
    <t>lago/movilidad.json</t>
  </si>
  <si>
    <t>cifras.afluencia_metro_dia_habil.valor</t>
  </si>
  <si>
    <t xml:space="preserve">Entradas promedio al Metro en un día hábil</t>
  </si>
  <si>
    <t>entradas/día</t>
  </si>
  <si>
    <t>997241</t>
  </si>
  <si>
    <t xml:space="preserve">Se promedian los días hábiles del último mes de la fuente</t>
  </si>
  <si>
    <t xml:space="preserve">¿Cuánta gente usa el Metro?</t>
  </si>
  <si>
    <t>listas.afluencia_por_linea[].valor</t>
  </si>
  <si>
    <t xml:space="preserve">Entradas acumuladas de una línea del sistema</t>
  </si>
  <si>
    <t>entradas</t>
  </si>
  <si>
    <t>119709152</t>
  </si>
  <si>
    <t xml:space="preserve">Se suman las entradas por línea en el periodo</t>
  </si>
  <si>
    <t xml:space="preserve">¿Qué líneas se usan más?</t>
  </si>
  <si>
    <t>series.afluencia_metro_mensual.puntos</t>
  </si>
  <si>
    <t xml:space="preserve">Entradas promedio por día hábil, mes a mes en 2026</t>
  </si>
  <si>
    <t xml:space="preserve">["2026-01", 888413]</t>
  </si>
  <si>
    <t xml:space="preserve">Pares [AAAA-MM, entradas/día]</t>
  </si>
  <si>
    <t xml:space="preserve">Se promedian los días hábiles de cada mes</t>
  </si>
  <si>
    <t xml:space="preserve">¿Cómo cambia el uso del Metro durante el año?</t>
  </si>
  <si>
    <t>lago/lentes.json</t>
  </si>
  <si>
    <t>cifras.victimas_viales.valor</t>
  </si>
  <si>
    <t xml:space="preserve">Víctimas en siniestros viales entre 2019 y 2021</t>
  </si>
  <si>
    <t>víctimas</t>
  </si>
  <si>
    <t>68898</t>
  </si>
  <si>
    <t xml:space="preserve">Se cuentan las víctimas de la capa georreferenciada; no se conserva edad, sexo ni identificación</t>
  </si>
  <si>
    <t xml:space="preserve">¿Dónde y cuánto se accidentan las personas?</t>
  </si>
  <si>
    <t>cifras.intersecciones_aforadas.valor</t>
  </si>
  <si>
    <t xml:space="preserve">Intersecciones con conteo vehicular entre 2017 y 2019</t>
  </si>
  <si>
    <t>intersecciones</t>
  </si>
  <si>
    <t>152</t>
  </si>
  <si>
    <t xml:space="preserve">Se cuentan los nodos distintos</t>
  </si>
  <si>
    <t xml:space="preserve">¿Qué parte de la red vial tiene medición de tráfico?</t>
  </si>
  <si>
    <t>cifras.estaciones_metro.valor</t>
  </si>
  <si>
    <t xml:space="preserve">Estaciones del Sistema Metro</t>
  </si>
  <si>
    <t>estaciones</t>
  </si>
  <si>
    <t>167</t>
  </si>
  <si>
    <t xml:space="preserve">¿Qué tan cubierta está la ciudad por transporte masivo?</t>
  </si>
  <si>
    <t>cifras.estaciones_encicla.valor</t>
  </si>
  <si>
    <t xml:space="preserve">Estaciones del sistema de bicicletas públicas</t>
  </si>
  <si>
    <t>119</t>
  </si>
  <si>
    <t xml:space="preserve">Se cuentan los puntos y se recortan a Medellín</t>
  </si>
  <si>
    <t xml:space="preserve">¿Hay infraestructura para la bicicleta?</t>
  </si>
  <si>
    <t>lago/gemelo.json</t>
  </si>
  <si>
    <t>cifras.construcciones.valor</t>
  </si>
  <si>
    <t xml:space="preserve">Construcciones registradas en el catastro del Distrito</t>
  </si>
  <si>
    <t>construcciones</t>
  </si>
  <si>
    <t>1078553</t>
  </si>
  <si>
    <t xml:space="preserve">Se cuentan las huellas urbanas y rurales; no se guarda matrícula ni propietario</t>
  </si>
  <si>
    <t xml:space="preserve">¿Qué tan construida está la ciudad?</t>
  </si>
  <si>
    <t>cifras.pisos_promedio.valor</t>
  </si>
  <si>
    <t xml:space="preserve">Promedio de pisos por construcción</t>
  </si>
  <si>
    <t>pisos</t>
  </si>
  <si>
    <t>2.12</t>
  </si>
  <si>
    <t xml:space="preserve">≥ 1</t>
  </si>
  <si>
    <t xml:space="preserve">Se promedia el campo de pisos de las construcciones</t>
  </si>
  <si>
    <t xml:space="preserve">¿Qué tan densa es la ciudad en altura?</t>
  </si>
  <si>
    <t>listas.construcciones_mas_altas[].cbml</t>
  </si>
  <si>
    <t xml:space="preserve">Código catastral del predio de una de las construcciones más altas; identifica el predio, no a su dueño</t>
  </si>
  <si>
    <t>10190500002</t>
  </si>
  <si>
    <t xml:space="preserve">11 dígitos</t>
  </si>
  <si>
    <t>Interna</t>
  </si>
  <si>
    <t xml:space="preserve">Se conserva el código para poder ubicar el predio</t>
  </si>
  <si>
    <t xml:space="preserve">¿Cuáles son los edificios más altos?</t>
  </si>
  <si>
    <t>listas.construcciones_mas_altas[].pisos</t>
  </si>
  <si>
    <t xml:space="preserve">Pisos de una construcción</t>
  </si>
  <si>
    <t>39</t>
  </si>
  <si>
    <t xml:space="preserve">Se ordenan por pisos y se dejan las 15 mayores</t>
  </si>
  <si>
    <t>cifras.construcciones_sobre_altura_normativa.valor</t>
  </si>
  <si>
    <t xml:space="preserve">Construcciones con más pisos que la altura que el POT permite en su zona</t>
  </si>
  <si>
    <t>67477</t>
  </si>
  <si>
    <t xml:space="preserve">Cruce espacial entre construcciones y polígonos de tratamiento; compara pisos con altura normativa</t>
  </si>
  <si>
    <t xml:space="preserve">¿Se construye por encima de la norma?</t>
  </si>
  <si>
    <t>cifras.barrios.valor</t>
  </si>
  <si>
    <t xml:space="preserve">Barrios del Distrito</t>
  </si>
  <si>
    <t>barrios</t>
  </si>
  <si>
    <t>271</t>
  </si>
  <si>
    <t xml:space="preserve">Se cuentan los polígonos de la capa</t>
  </si>
  <si>
    <t xml:space="preserve">¿Cómo se divide la ciudad?</t>
  </si>
  <si>
    <t>cifras.km_alta_tension.valor</t>
  </si>
  <si>
    <t xml:space="preserve">Longitud de líneas de alta tensión dentro de Medellín</t>
  </si>
  <si>
    <t>km</t>
  </si>
  <si>
    <t>211</t>
  </si>
  <si>
    <t xml:space="preserve">Se recortan las líneas al límite de Medellín y se suma su longitud</t>
  </si>
  <si>
    <t xml:space="preserve">¿Cuánta infraestructura eléctrica hay en la ciudad?</t>
  </si>
  <si>
    <t>listas.territorios[].indice_construccion_bruto</t>
  </si>
  <si>
    <t xml:space="preserve">Metros cuadrados construidos por cada metro cuadrado de la comuna</t>
  </si>
  <si>
    <t>m²/m²</t>
  </si>
  <si>
    <t>0.718</t>
  </si>
  <si>
    <t xml:space="preserve">suma del área construida de todos los pisos / área de la comuna</t>
  </si>
  <si>
    <t xml:space="preserve">¿Qué comunas están más densificadas?</t>
  </si>
  <si>
    <t>listas.territorios[].indice_energia</t>
  </si>
  <si>
    <t xml:space="preserve">Índice 0–100 de presión sobre la red eléctrica de la comuna</t>
  </si>
  <si>
    <t xml:space="preserve">índice 0–100</t>
  </si>
  <si>
    <t>65.3</t>
  </si>
  <si>
    <t xml:space="preserve">Se normalizan los km de red por km² y las subestaciones y se combinan según listas.metodo_indices</t>
  </si>
  <si>
    <t xml:space="preserve">¿Dónde está más exigida la infraestructura eléctrica?</t>
  </si>
  <si>
    <t>lago/territorio.json</t>
  </si>
  <si>
    <t>cifras.ha_amenaza_alta_masa.valor</t>
  </si>
  <si>
    <t xml:space="preserve">Hectáreas en amenaza alta por movimientos en masa</t>
  </si>
  <si>
    <t>ha</t>
  </si>
  <si>
    <t>2946</t>
  </si>
  <si>
    <t xml:space="preserve">Se suma el área de los polígonos de amenaza alta dentro del suelo del Distrito</t>
  </si>
  <si>
    <t xml:space="preserve">¿Qué parte del territorio está en riesgo?</t>
  </si>
  <si>
    <t>cifras.construcciones_amenaza_alta.valor</t>
  </si>
  <si>
    <t xml:space="preserve">Construcciones dentro de zonas de amenaza alta por movimientos en masa, inundación o avenida torrencial</t>
  </si>
  <si>
    <t>41219</t>
  </si>
  <si>
    <t xml:space="preserve">Cruce espacial entre construcciones del catastro y polígonos de amenaza alta</t>
  </si>
  <si>
    <t xml:space="preserve">¿Cuánta construcción está expuesta a desastres?</t>
  </si>
  <si>
    <t>cifras.pct_baja_mixtura.valor</t>
  </si>
  <si>
    <t xml:space="preserve">Parte del suelo urbano que es de baja mixtura (predominio residencial)</t>
  </si>
  <si>
    <t>39.6</t>
  </si>
  <si>
    <t xml:space="preserve">área de baja mixtura / suelo urbano con uso asignado × 100</t>
  </si>
  <si>
    <t xml:space="preserve">¿Qué tan mezclados están los usos del suelo?</t>
  </si>
  <si>
    <t>listas.tratamientos[].hectareas</t>
  </si>
  <si>
    <t xml:space="preserve">Hectáreas bajo cada tratamiento urbano (consolidación, renovación, desarrollo, etc.)</t>
  </si>
  <si>
    <t>2445.7</t>
  </si>
  <si>
    <t xml:space="preserve">Se agrupan los polígonos por tratamiento y se suma el área</t>
  </si>
  <si>
    <t xml:space="preserve">¿Cómo planea el POT que cambie cada zona?</t>
  </si>
  <si>
    <t>cifras.pot_vigente.valor</t>
  </si>
  <si>
    <t xml:space="preserve">Norma del POT que rige hoy; se registra la vigente porque el mapa de 2025 es provisional</t>
  </si>
  <si>
    <t xml:space="preserve">Acuerdo 48 de 2014</t>
  </si>
  <si>
    <t xml:space="preserve">Constante fijada en el código de la ingesta, no leída del servicio</t>
  </si>
  <si>
    <t xml:space="preserve">¿Qué norma está en vigor?</t>
  </si>
  <si>
    <t>listas.bic[].nombre</t>
  </si>
  <si>
    <t xml:space="preserve">Nombre de un bien de interés cultural</t>
  </si>
  <si>
    <t xml:space="preserve">Campus Universidad de Antioquia (El Chagualo)</t>
  </si>
  <si>
    <t xml:space="preserve">Se copia sin cambios</t>
  </si>
  <si>
    <t xml:space="preserve">¿Qué patrimonio hay y dónde?</t>
  </si>
  <si>
    <t>cifras.bibliotecas.valor</t>
  </si>
  <si>
    <t xml:space="preserve">Bibliotecas de la Red de Bibliotecas</t>
  </si>
  <si>
    <t>bibliotecas</t>
  </si>
  <si>
    <t>32</t>
  </si>
  <si>
    <t xml:space="preserve">¿Hay acceso a cultura y lectura?</t>
  </si>
  <si>
    <t>cifras.sedes_educativas.valor</t>
  </si>
  <si>
    <t xml:space="preserve">Sedes educativas activas</t>
  </si>
  <si>
    <t>sedes</t>
  </si>
  <si>
    <t>779</t>
  </si>
  <si>
    <t xml:space="preserve">Se cuentan las sedes activas del directorio 2024</t>
  </si>
  <si>
    <t xml:space="preserve">¿Hay oferta educativa en cada territorio?</t>
  </si>
  <si>
    <t>cifras.equipamientos.valor</t>
  </si>
  <si>
    <t xml:space="preserve">Equipamientos del POT (educación, salud, cultura, etc.)</t>
  </si>
  <si>
    <t>equipamientos</t>
  </si>
  <si>
    <t>2139</t>
  </si>
  <si>
    <t xml:space="preserve">Se cuentan los puntos y se agrupan por componente en listas.equipamientos_por_componente</t>
  </si>
  <si>
    <t xml:space="preserve">¿Qué servicios colectivos tiene la ciudad?</t>
  </si>
  <si>
    <t>cifras.m2_verde_hab.valor</t>
  </si>
  <si>
    <t xml:space="preserve">Metros cuadrados de espacio verde urbano por habitante</t>
  </si>
  <si>
    <t>m²/hab.</t>
  </si>
  <si>
    <t>14.8</t>
  </si>
  <si>
    <t xml:space="preserve">área de espacio verde (m²) / población proyectada</t>
  </si>
  <si>
    <t xml:space="preserve">¿Qué tan verde es la ciudad frente al mínimo recomendado?</t>
  </si>
  <si>
    <t>cifras.m2_espacio_publico_hab.valor</t>
  </si>
  <si>
    <t xml:space="preserve">Metros cuadrados de espacio público efectivo por habitante</t>
  </si>
  <si>
    <t>5.1</t>
  </si>
  <si>
    <t xml:space="preserve">área de espacio público (m²) / población proyectada</t>
  </si>
  <si>
    <t xml:space="preserve">¿Cuánto espacio público tiene cada habitante?</t>
  </si>
  <si>
    <t>lago/ambiente.json</t>
  </si>
  <si>
    <t>cifras.estaciones_pm25.valor</t>
  </si>
  <si>
    <t xml:space="preserve">Estaciones de calidad del aire con dato vigente</t>
  </si>
  <si>
    <t>23</t>
  </si>
  <si>
    <t xml:space="preserve">Se cuentan las estaciones de Medellín que reportan en el momento</t>
  </si>
  <si>
    <t xml:space="preserve">¿Qué tan bien se monitorea el aire?</t>
  </si>
  <si>
    <t>cifras.estaciones_pluvios.valor</t>
  </si>
  <si>
    <t xml:space="preserve">Pluviómetros del SIATA</t>
  </si>
  <si>
    <t>183</t>
  </si>
  <si>
    <t xml:space="preserve">Se cuentan los puntos del servicio</t>
  </si>
  <si>
    <t xml:space="preserve">¿Qué tan vigilada está la lluvia?</t>
  </si>
  <si>
    <t>cifras.estaciones_niveles.valor</t>
  </si>
  <si>
    <t xml:space="preserve">Estaciones de nivel de quebradas y río</t>
  </si>
  <si>
    <t>165</t>
  </si>
  <si>
    <t xml:space="preserve">¿Qué tan vigilado está el riesgo de crecientes?</t>
  </si>
  <si>
    <t>cifras.estaciones_meteo.valor</t>
  </si>
  <si>
    <t xml:space="preserve">Estaciones de temperatura, viento y humedad</t>
  </si>
  <si>
    <t>45</t>
  </si>
  <si>
    <t xml:space="preserve">¿Qué tan cubierto está el clima?</t>
  </si>
  <si>
    <t>cifras.estaciones_ruido.valor</t>
  </si>
  <si>
    <t xml:space="preserve">Estaciones de la red oficial de ruido</t>
  </si>
  <si>
    <t>8</t>
  </si>
  <si>
    <t xml:space="preserve">¿Se mide el ruido de la ciudad?</t>
  </si>
  <si>
    <t>cifras.sismos_12m.valor</t>
  </si>
  <si>
    <t xml:space="preserve">Sismos de magnitud 4 o más a menos de 300 km de Medellín en los últimos 12 meses</t>
  </si>
  <si>
    <t>sismos</t>
  </si>
  <si>
    <t>101</t>
  </si>
  <si>
    <t xml:space="preserve">Se cuentan los eventos de la ventana de 12 meses</t>
  </si>
  <si>
    <t xml:space="preserve">¿Qué tan activa está la región?</t>
  </si>
  <si>
    <t>cifras.sismo_magnitud_maxima.valor</t>
  </si>
  <si>
    <t xml:space="preserve">Magnitud del sismo más fuerte desde el año 2000</t>
  </si>
  <si>
    <t>magnitud</t>
  </si>
  <si>
    <t>7.4</t>
  </si>
  <si>
    <t>4–10</t>
  </si>
  <si>
    <t xml:space="preserve">Se toma el máximo de la serie</t>
  </si>
  <si>
    <t xml:space="preserve">¿Qué tan fuertes han sido los sismos?</t>
  </si>
  <si>
    <t>listas.ruido_amva_dia[].ha</t>
  </si>
  <si>
    <t xml:space="preserve">Hectáreas de Medellín dentro de cada rango de decibeles en el día</t>
  </si>
  <si>
    <t>122.7</t>
  </si>
  <si>
    <t xml:space="preserve">Se recortan las isófonas al límite de Medellín y se suma el área por rango</t>
  </si>
  <si>
    <t xml:space="preserve">¿Qué parte de la ciudad soporta ruido alto?</t>
  </si>
  <si>
    <t>cifras.wiki_medellin_es_12m.valor</t>
  </si>
  <si>
    <t xml:space="preserve">Vistas del artículo «Medellín» en Wikipedia en español en los últimos 12 meses</t>
  </si>
  <si>
    <t>vistas</t>
  </si>
  <si>
    <t>230067</t>
  </si>
  <si>
    <t xml:space="preserve">Se suman los últimos 12 meses completos</t>
  </si>
  <si>
    <t xml:space="preserve">¿Cuánto interés despierta la ciudad?</t>
  </si>
  <si>
    <t>cifras.wiki_medellin_es_variacion_12m_norm.valor</t>
  </si>
  <si>
    <t xml:space="preserve">Cambio de las vistas descontando el cambio general de Wikipedia</t>
  </si>
  <si>
    <t>-10.2</t>
  </si>
  <si>
    <t>Número</t>
  </si>
  <si>
    <t xml:space="preserve">variación de Medellín frente a la variación del sitio en el mismo periodo</t>
  </si>
  <si>
    <t xml:space="preserve">¿El interés cae por la ciudad o por Wikipedia en general?</t>
  </si>
  <si>
    <t>series.wiki_medellin_es_mensual.puntos</t>
  </si>
  <si>
    <t xml:space="preserve">Vistas mensuales del artículo desde 2015</t>
  </si>
  <si>
    <t xml:space="preserve">["jul 2015", 59456]</t>
  </si>
  <si>
    <t xml:space="preserve">Pares [mes, vistas]</t>
  </si>
  <si>
    <t xml:space="preserve">La fecha AAAAMMDD se pasa a nombre de mes</t>
  </si>
  <si>
    <t xml:space="preserve">¿Cómo cambia el interés en el tiempo?</t>
  </si>
  <si>
    <t>listas.wiki_territorios[].vistas_12m</t>
  </si>
  <si>
    <t xml:space="preserve">Vistas de los últimos 12 meses del artículo de una comuna o corregimiento</t>
  </si>
  <si>
    <t>16690</t>
  </si>
  <si>
    <t xml:space="preserve">Se suman las vistas del artículo y sus redirecciones</t>
  </si>
  <si>
    <t xml:space="preserve">¿Qué territorios llaman más la atención?</t>
  </si>
  <si>
    <t>cifras.prensa_menciones_90d.valor</t>
  </si>
  <si>
    <t xml:space="preserve">Artículos de prensa que nombran a Medellín en los últimos 90 días</t>
  </si>
  <si>
    <t>artículos</t>
  </si>
  <si>
    <t>9674</t>
  </si>
  <si>
    <t xml:space="preserve">Se suman los conteos diarios de la consulta</t>
  </si>
  <si>
    <t xml:space="preserve">¿Cuánto se habla de la ciudad en la prensa?</t>
  </si>
  <si>
    <t>series.prensa_menciones_diarias.puntos</t>
  </si>
  <si>
    <t xml:space="preserve">Artículos que nombran a Medellín cada día</t>
  </si>
  <si>
    <t xml:space="preserve">["5 jul 2026", 47]</t>
  </si>
  <si>
    <t xml:space="preserve">Pares [fecha, artículos]</t>
  </si>
  <si>
    <t xml:space="preserve">Se toma un valor por día</t>
  </si>
  <si>
    <t xml:space="preserve">¿Hay picos de atención y cuándo?</t>
  </si>
  <si>
    <t>listas.prensa_titulares[].titulo</t>
  </si>
  <si>
    <t xml:space="preserve">Titular de un artículo que nombra a Medellín; puede mencionar personas</t>
  </si>
  <si>
    <t xml:space="preserve">Fuerte aguacero causa caos en Medellín: hay árboles caídos y cortes de energía</t>
  </si>
  <si>
    <t xml:space="preserve">Se conserva solo si el titular nombra a Medellín; no se revisa uno a uno</t>
  </si>
  <si>
    <t xml:space="preserve">¿De qué se habla?</t>
  </si>
  <si>
    <t>listas.prensa_titulares[].medio</t>
  </si>
  <si>
    <t xml:space="preserve">Sitio web que publicó el artículo</t>
  </si>
  <si>
    <t>elcolombiano.com</t>
  </si>
  <si>
    <t>Dominio</t>
  </si>
  <si>
    <t xml:space="preserve">¿Quién habla de la ciudad?</t>
  </si>
  <si>
    <t>listas.prensa_titulares[].temas</t>
  </si>
  <si>
    <t xml:space="preserve">Temas del lago a los que pertenece el titular</t>
  </si>
  <si>
    <t xml:space="preserve">["servicios", "ambiente"]</t>
  </si>
  <si>
    <t xml:space="preserve">Lista de temas; vacía si no coincide con ninguno</t>
  </si>
  <si>
    <t xml:space="preserve">Se asignan por palabras clave definidas en listas.prensa_temas</t>
  </si>
  <si>
    <t xml:space="preserve">¿Qué temas dominan la conversación?</t>
  </si>
  <si>
    <t xml:space="preserve">3. Bitácora de la búsqueda con IA</t>
  </si>
  <si>
    <t xml:space="preserve">Qué le encargaron a la IA y qué pasó con lo que respondió. Incluyan los errores: valen tanto como los aciertos.</t>
  </si>
  <si>
    <t>#</t>
  </si>
  <si>
    <t xml:space="preserve">Herramienta de IA</t>
  </si>
  <si>
    <t xml:space="preserve">Qué le encargaron</t>
  </si>
  <si>
    <t xml:space="preserve">Qué respondió (resumen)</t>
  </si>
  <si>
    <t xml:space="preserve">Cómo lo comprobaron</t>
  </si>
  <si>
    <t>Resultado</t>
  </si>
  <si>
    <t xml:space="preserve">ID fuente que salió de ahí</t>
  </si>
  <si>
    <t xml:space="preserve">Qué aprendieron</t>
  </si>
  <si>
    <t>1</t>
  </si>
  <si>
    <t>Claude</t>
  </si>
  <si>
    <t xml:space="preserve">Encontrar una fuente abierta y sin llave que mida cuánto interés despierta Medellín fuera de la ciudad</t>
  </si>
  <si>
    <t xml:space="preserve">Propuso Google Trends y la API de vistas de Wikipedia</t>
  </si>
  <si>
    <t xml:space="preserve">Probamos las dos: Google Trends no tiene API abierta ni licencia de reutilización; la de Wikipedia respondió con curl y declara CC0</t>
  </si>
  <si>
    <t>Parcial</t>
  </si>
  <si>
    <t xml:space="preserve">Que la IA nombre una fuente no quiere decir que se pueda usar: la licencia y el acceso se comprueban uno mismo.</t>
  </si>
  <si>
    <t xml:space="preserve">Basado en estas dimensiones de una (Se adjunto una foto del Sidebar de cerebro-lima) recolecta fuentes relevantes para la construccion de un modelo digital con un mapa 3D de la ciudad de medellin.</t>
  </si>
  <si>
    <t xml:space="preserve">Algo muy interesante de los modelos modernos es que no responden inmediatamente si no que tiene un proceso, en nuestro caso, lo primero que comenzo a hacer es un plan</t>
  </si>
  <si>
    <t xml:space="preserve">La evidencia fue un solido archivo de Issues que contenian los pasos para crear un robusto modelo digital verificable.</t>
  </si>
  <si>
    <t xml:space="preserve">Todavia ninguna</t>
  </si>
  <si>
    <t xml:space="preserve">Una buena forma de no saturar el la ventana de contexto de una IA es hacer un plane y pedir que se realicen paso por paso</t>
  </si>
  <si>
    <t xml:space="preserve">Construir la base que alimenta la app con el mismo modelo que Cerebro Lima</t>
  </si>
  <si>
    <t xml:space="preserve">Se definio un contrato con cada tema, se crearon scripts que realizan la ingesta y generar un catalogo con los datasets </t>
  </si>
  <si>
    <t xml:space="preserve">Python ingesta/verificar.py pasa, y el Panorama actual se muestra leyendo el lago, se revisa que la fuentes sigan disponibles</t>
  </si>
  <si>
    <t xml:space="preserve">F001 a la F092</t>
  </si>
  <si>
    <t xml:space="preserve">Que es importante definir un contraro entre las fuentes de los datos y el sitio de alamcenamiento</t>
  </si>
  <si>
    <t xml:space="preserve">Dame un gemelo 3D con alturas y reales</t>
  </si>
  <si>
    <t xml:space="preserve">Una arquitectura que usa PMtiles para mostrar los edificios de forma eficiente, siriviendo el archivo de mapa que se demora 6 minutos en generar pero despues simplemente se sirve como un recurso estatico</t>
  </si>
  <si>
    <t xml:space="preserve">Revisar que los edificios que conoce el quipo de desarrolladores tenga medianamente sentido</t>
  </si>
  <si>
    <t>Ninguna</t>
  </si>
  <si>
    <t xml:space="preserve">Que existen multiples formatos y arquitecturas para servir datos geoespaciales y que mostrar mapas en el navegador es como mostrar videos</t>
  </si>
  <si>
    <t xml:space="preserve">Ahora que se puede visualizar el mapa necesito que se agreguen los lentes para analisis especializado y herramientas que me permitan un mejor estudio</t>
  </si>
  <si>
    <t xml:space="preserve">El modelo digital incorpora cuatro lentes de análisis urbano: Cruce Urbano, Energía, Densificación y Presión Vial, que permiten interpretar diferentes dimensiones de la ciudad. Además, cuenta con un panel Explorar con capas temáticas de movilidad, servicios, turismo, zonas verdes, planificación, edificación 3D y riesgo. Permite analizar puntos mediante radios de 500 m y 1 km, integrando información de edificios, energía, equipamientos y siniestros, así como medir distancias y comparar ortofotos históricas para analizar la evolución urbana.</t>
  </si>
  <si>
    <t xml:space="preserve">Probando los lentes muestreando partes del mapa para ver que encajara con la informacion del lago</t>
  </si>
  <si>
    <t>Niguna</t>
  </si>
  <si>
    <t xml:space="preserve">Crea el apartado de seguridad usando los datos de la policia nacional y el SISC, aunque estos no pueden ser cruzados porque representan cosas diferentes</t>
  </si>
  <si>
    <t xml:space="preserve">Me retorno series de tiempo para los datos de la policia y para cada tipo de delito, y despues me retorno un mapa de calor con crimenes desde 2021-2023 por comuna. </t>
  </si>
  <si>
    <t xml:space="preserve">Cuando las cifras de 2026 llegan hasta el ultimo mes reportado</t>
  </si>
  <si>
    <t>Completo</t>
  </si>
  <si>
    <t xml:space="preserve">F020 a la F027</t>
  </si>
  <si>
    <t xml:space="preserve">Hay que tener cuidado cuando se intentan cruzar datos ya que hay una discrepancia entre el SISC y los datos de la policia</t>
  </si>
  <si>
    <t xml:space="preserve">Crea el apartado de ambiente y satilete </t>
  </si>
  <si>
    <t xml:space="preserve">Como el SIATAno permite CORS entonces se creo una ruta en el servidor de next.js para hacer las peticiones de la calidad del aire y cachearlas.</t>
  </si>
  <si>
    <t xml:space="preserve">Verificamos que estuviera el proxy funcionando, que estuviera la seccion de ambiente, ademas se corrigiendon algunas fuentes de informacion.</t>
  </si>
  <si>
    <t xml:space="preserve">modificacion de la URL de la fuente</t>
  </si>
  <si>
    <t xml:space="preserve">Crea la sección Gente con población, hogares, condiciones de vida, estratos y salud por comuna, con fuentes y vigencias visibles.</t>
  </si>
  <si>
    <t xml:space="preserve">Se integraron proyecciones PPED, hogares, viviendas, IMCV, pobreza, IDH, estratos, salud y pirámide poblacional; se añadieron indicadores territoriales al lago.</t>
  </si>
  <si>
    <t xml:space="preserve">La vista se revisó en un celular real; los 21 territorios muestran vigencia y procedencia de sus indicadores.</t>
  </si>
  <si>
    <t>F001–F006</t>
  </si>
  <si>
    <t xml:space="preserve">La PPED publicada en 2025 reemplaza la proyección anterior; la población debe corresponder a la serie vigente.</t>
  </si>
  <si>
    <t xml:space="preserve">Construye Economía y vivienda con empleo, precios de vivienda, suelo, licencias y actividad empresarial por territorio.</t>
  </si>
  <si>
    <t xml:space="preserve">Se integraron GEIH, OIME, valor catastral del suelo, licencias, Industria y Comercio y Cámara de Comercio; se creó la vista con series y rankings.</t>
  </si>
  <si>
    <t xml:space="preserve">Vista revisada en celular real; se documentaron periodos y límites de cobertura de cada fuente.</t>
  </si>
  <si>
    <t>F007–F012</t>
  </si>
  <si>
    <t xml:space="preserve">No se deben mezclar registros empresariales de fuentes y coberturas distintas ni presentar precios nominales como ajustados por inflación.</t>
  </si>
  <si>
    <t xml:space="preserve">Crea Turismo con visitantes, pasajeros, ocupación histórica, atractivos y hospedajes por comuna.</t>
  </si>
  <si>
    <t xml:space="preserve">Se integraron MinCIT, Aerocivil, datos históricos de turismo, atractivos y hospedajes de OpenStreetMap en una sección y capas del mapa.</t>
  </si>
  <si>
    <t xml:space="preserve">Vista revisada en celular real; hospedajes filtrados por el límite distrital y los datos históricos rotulados con su vigencia.</t>
  </si>
  <si>
    <t>F028–F034</t>
  </si>
  <si>
    <t xml:space="preserve">Pasajeros aéreos no equivalen a turistas; OSM es colaborativo y no sustituye el Registro Nacional de Turismo.</t>
  </si>
  <si>
    <t xml:space="preserve">Crea Municipio con presupuesto, inversión por territorio, contratación, Concejo y facturación predial.</t>
  </si>
  <si>
    <t xml:space="preserve">Se integraron CUIPO, inversión por comuna, SECOP II, actividad del Concejo y predial histórico en la nueva sección Municipio.</t>
  </si>
  <si>
    <t xml:space="preserve">Vista revisada en celular real; presupuesto contrastado con CUIPO y predial rotulado como facturación histórica, no recaudo.</t>
  </si>
  <si>
    <t>F035–F041</t>
  </si>
  <si>
    <t xml:space="preserve">Cuando una fuente no permite confirmar la vigencia, se reemplaza por otra verificable o se declara expresamente el límite.</t>
  </si>
  <si>
    <t xml:space="preserve">Añade Servicios públicos con cobertura, suscriptores, tarifas, subsidios, reciclaje e internet por territorio.</t>
  </si>
  <si>
    <t xml:space="preserve">Se integraron datos de EPM, Emvarias, Superservicios y MEData; la cobertura de internet por comuna quedó como candidata.</t>
  </si>
  <si>
    <t xml:space="preserve">Probada a 1400 y 390 px sin desbordamiento; tarifas, coberturas y datos candidatos quedan identificados.</t>
  </si>
  <si>
    <t>F042–F054</t>
  </si>
  <si>
    <t xml:space="preserve">Si no existe cobertura territorial abierta, hay que marcarla como candidata en vez de ocultar la ausencia.</t>
  </si>
  <si>
    <t xml:space="preserve">Crea Territorio y cultura con riesgos del POT, usos del suelo, patrimonio, equipamientos y espacio público.</t>
  </si>
  <si>
    <t xml:space="preserve">Se añadieron 25 cifras y 21 indicadores territoriales, mapas de riesgo y capas de cultura y educación.</t>
  </si>
  <si>
    <t xml:space="preserve">Probada a 1400 y 390 px; se verificó que el Acuerdo 48 de 2014 sigue vigente y se explicaron las limitaciones de cada capa.</t>
  </si>
  <si>
    <t>F056–F079</t>
  </si>
  <si>
    <t xml:space="preserve">Las capas con cobertura o fecha parcial necesitan una nota visible; el estado provisional de un mapa no cambia por su nombre.</t>
  </si>
  <si>
    <t xml:space="preserve">Construye un Atlas para comparar comunas, barrios y municipios del Área Metropolitana con métricas del lago.</t>
  </si>
  <si>
    <t xml:space="preserve">El Atlas reúne 52 métricas por comuna, 13 por barrio y comparación poblacional regional, con mapa, ranking y fichas.</t>
  </si>
  <si>
    <t xml:space="preserve">tests/atlas.test.mjs y QA a 1400 y 390 px; métricas y territorios cotejados contra el lago.</t>
  </si>
  <si>
    <t xml:space="preserve">Derivadas de F001–F079; sin fuente nueva</t>
  </si>
  <si>
    <t xml:space="preserve">Reutilizar contratos comunes permite comparar datos de temas distintos sin inventar métricas que no estén en el lago.</t>
  </si>
  <si>
    <t xml:space="preserve">Agrega una matriz de correlaciones y un diagrama interactivo para explorar pares de métricas del Atlas.</t>
  </si>
  <si>
    <t xml:space="preserve">Se implementó Spearman para 24 métricas, con diagrama de dispersión, tabla y advertencias sobre n y causalidad.</t>
  </si>
  <si>
    <t xml:space="preserve">tests/correlaciones.test.mjs y QA a 1400 y 390 px; los pares y tamaños de muestra se contrastan con el lago.</t>
  </si>
  <si>
    <t xml:space="preserve">Derivadas del Atlas; sin fuente nueva</t>
  </si>
  <si>
    <t xml:space="preserve">Con 21 territorios conviene comparar rangos y mostrar periodos y datos faltantes; correlación no implica causalidad.</t>
  </si>
  <si>
    <t xml:space="preserve">Crea Escucha social con visitas de Wikipedia y cobertura de prensa, indicando qué miden y qué no.</t>
  </si>
  <si>
    <t xml:space="preserve">Se integraron Pageviews de Wikipedia y GDELT con series, filtro de ruido, temas y titulares enlazados.</t>
  </si>
  <si>
    <t xml:space="preserve">tests/test_escucha.py y QA a 1400 y 390 px; se probaron filtros y controles de ambas fuentes.</t>
  </si>
  <si>
    <t>F090–F092</t>
  </si>
  <si>
    <t xml:space="preserve">Las vistas y el volumen de prensa no miden opinión; el filtrado de titulares debe poder revisarse.</t>
  </si>
  <si>
    <t xml:space="preserve">Crea un Panorama con cifras ancla, diagnóstico por territorio, prioridades, comparación y búsqueda de lugares.</t>
  </si>
  <si>
    <t xml:space="preserve">Se implementó un diagnóstico derivado con cuatro prioridades, mapa, ranking, comparación y búsqueda; las cifras ancla leen del lago.</t>
  </si>
  <si>
    <t xml:space="preserve">tests/diagnostico.test.mjs y QA a 1400 y 390 px; se probaron prioridades, comparación, buscador y enlace al gemelo.</t>
  </si>
  <si>
    <t xml:space="preserve">El diagnóstico debe mostrar cálculo, fuente y contexto sin juicios de valor; las métricas de contexto quedan fuera del índice.</t>
  </si>
  <si>
    <t xml:space="preserve">Convierte Fuentes en un catálogo filtrable y explica ingesta, verificación, vigencia y estados de los datos.</t>
  </si>
  <si>
    <t xml:space="preserve">Se creó Fuentes y método con catálogo, filtros, conteos, trazabilidad y explicación del proceso reproducible.</t>
  </si>
  <si>
    <t xml:space="preserve">tests/fuentes.test.mjs, tests de ingesta y QA a 1400 y 390 px; catálogo cotejado con los temas del lago.</t>
  </si>
  <si>
    <t>F001–F092</t>
  </si>
  <si>
    <t xml:space="preserve">La documentación debe describir el proceso que realmente corre y explicar cada estado antes de mostrar el catálogo.</t>
  </si>
  <si>
    <t xml:space="preserve">Completa la experiencia general con buscador global, clima y reloj, estado del lago, modo presentación y revisión móvil; decide si requiere clave.</t>
  </si>
  <si>
    <t xml:space="preserve">La issue sigue pendiente. La navegación por hash ya existe parcialmente; buscador global, clima, estado del lago, modo presentación y revisión de accesibilidad y rendimiento faltan.</t>
  </si>
  <si>
    <t xml:space="preserve">Se contrastó el estado con las tareas de la issue: permanece sin marcar; la clave de acceso tampoco está implementada.</t>
  </si>
  <si>
    <t xml:space="preserve">Pendiente; Open-Meteo propuesto, sin ID de catálogo</t>
  </si>
  <si>
    <t xml:space="preserve">Conviene separar lo ya disponible de las tareas pendientes y validar la experiencia móvil antes de cerrar la issue.</t>
  </si>
  <si>
    <t xml:space="preserve">Resumen del lago</t>
  </si>
  <si>
    <t xml:space="preserve">Se calcula solo desde las otras hojas; no cuenta las filas de ejemplo (fila 4).</t>
  </si>
  <si>
    <t xml:space="preserve">Fuentes registradas</t>
  </si>
  <si>
    <t xml:space="preserve">  · integradas al lago</t>
  </si>
  <si>
    <t xml:space="preserve">  · candidatas</t>
  </si>
  <si>
    <t xml:space="preserve">  · que no responden</t>
  </si>
  <si>
    <t xml:space="preserve">  · que no existen (inventadas por la IA)</t>
  </si>
  <si>
    <t xml:space="preserve">  · descartadas</t>
  </si>
  <si>
    <t xml:space="preserve">Fuentes con licencia «no declara» o vacía</t>
  </si>
  <si>
    <t xml:space="preserve">Fuentes con personas identificables o texto libre</t>
  </si>
  <si>
    <t xml:space="preserve">Campos en el diccionario</t>
  </si>
  <si>
    <t xml:space="preserve">  · clasificados como sensibles o dato personal</t>
  </si>
  <si>
    <t xml:space="preserve">  · sin pregunta del sistema asociada</t>
  </si>
  <si>
    <t xml:space="preserve">Encargos a la IA registrados</t>
  </si>
  <si>
    <t xml:space="preserve">· con resultado parcial</t>
  </si>
  <si>
    <t xml:space="preserve">Porcentaje de encargos completos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</si>
</sst>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4.000000"/>
      <name val="Arial"/>
    </font>
    <font>
      <sz val="9.000000"/>
      <color rgb="FF555555"/>
      <name val="Arial"/>
    </font>
    <font>
      <sz val="10.000000"/>
      <name val="Arial"/>
    </font>
    <font>
      <b/>
      <sz val="11.000000"/>
      <name val="Arial"/>
    </font>
    <font>
      <i/>
      <sz val="9.000000"/>
      <color rgb="FF555555"/>
      <name val="Arial"/>
    </font>
    <font>
      <b/>
      <sz val="10.000000"/>
      <color indexed="65"/>
      <name val="Arial"/>
    </font>
    <font>
      <i/>
      <sz val="9.000000"/>
      <color rgb="FF666666"/>
      <name val="Arial"/>
    </font>
    <font>
      <u/>
      <sz val="11.000000"/>
      <color theme="10"/>
      <name val="Calibri"/>
    </font>
    <font>
      <sz val="11.000000"/>
      <name val="Arial"/>
    </font>
    <font>
      <b/>
      <sz val="10.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1F1F1F"/>
      </patternFill>
    </fill>
    <fill>
      <patternFill patternType="solid">
        <fgColor rgb="FFEDEDED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 quotePrefix="0" pivotButton="0"/>
    <xf fontId="1" fillId="0" borderId="0" numFmtId="0" xfId="0" applyFont="1" applyAlignment="1" quotePrefix="0" pivotButton="0">
      <alignment wrapText="1"/>
    </xf>
    <xf fontId="2" fillId="0" borderId="0" numFmtId="0" xfId="0" applyFont="1" applyAlignment="1" quotePrefix="0" pivotButton="0">
      <alignment wrapText="1"/>
    </xf>
    <xf fontId="3" fillId="0" borderId="0" numFmtId="0" xfId="0" applyFont="1" applyAlignment="1" quotePrefix="0" pivotButton="0">
      <alignment wrapText="1"/>
    </xf>
    <xf fontId="4" fillId="0" borderId="0" numFmtId="0" xfId="0" applyFont="1" applyAlignment="1" quotePrefix="0" pivotButton="0">
      <alignment wrapText="1"/>
    </xf>
    <xf fontId="3" fillId="2" borderId="0" numFmtId="0" xfId="0" applyFont="1" applyFill="1" applyAlignment="1" quotePrefix="0" pivotButton="0">
      <alignment wrapText="1"/>
    </xf>
    <xf fontId="1" fillId="0" borderId="0" numFmtId="0" xfId="0" applyFont="1" quotePrefix="0" pivotButton="0"/>
    <xf fontId="5" fillId="0" borderId="0" numFmtId="0" xfId="0" applyFont="1" quotePrefix="0" pivotButton="0"/>
    <xf fontId="6" fillId="3" borderId="1" numFmtId="0" xfId="0" applyFont="1" applyFill="1" applyBorder="1" applyAlignment="1" quotePrefix="0" pivotButton="0">
      <alignment vertical="center" wrapText="1"/>
    </xf>
    <xf fontId="7" fillId="4" borderId="1" numFmtId="0" xfId="0" applyFont="1" applyFill="1" applyBorder="1" applyAlignment="1" quotePrefix="0" pivotButton="0">
      <alignment vertical="top" wrapText="1"/>
    </xf>
    <xf fontId="3" fillId="2" borderId="1" numFmtId="0" xfId="0" applyFont="1" applyFill="1" applyBorder="1" applyAlignment="1" quotePrefix="0" pivotButton="0">
      <alignment vertical="top" wrapText="1"/>
    </xf>
    <xf fontId="8" fillId="2" borderId="1" numFmtId="0" xfId="0" applyFont="1" applyFill="1" applyBorder="1" applyAlignment="1" quotePrefix="0" pivotButton="0">
      <alignment vertical="top" wrapText="1"/>
    </xf>
    <xf fontId="9" fillId="2" borderId="1" numFmtId="0" xfId="0" applyFont="1" applyFill="1" applyBorder="1" applyAlignment="1" quotePrefix="0" pivotButton="0">
      <alignment vertical="top" wrapText="1"/>
    </xf>
    <xf fontId="10" fillId="0" borderId="0" numFmtId="0" xfId="0" applyFont="1" quotePrefix="0" pivotButton="0"/>
    <xf fontId="3" fillId="0" borderId="1" numFmtId="0" xfId="0" applyFont="1" applyBorder="1" quotePrefix="0" pivotButton="0"/>
    <xf fontId="3" fillId="0" borderId="0" numFmtId="0" xfId="0" applyFont="1" quotePrefix="0" pivotButton="0"/>
    <xf fontId="3" fillId="0" borderId="1" numFmtId="9" xfId="0" applyNumberFormat="1" applyFont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www.dane.gov.co/files/censo2018/proyecciones-de-poblacion/Municipal/PPED-AreaMun-2018-2042_VP.xlsx" TargetMode="External"/><Relationship  Id="rId2" Type="http://schemas.openxmlformats.org/officeDocument/2006/relationships/hyperlink" Target="https://portalidem.metropol.gov.co/server/rest/services/DISTRITO_MEDELLIN_CATASTRO/MapSer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8.83203125" defaultRowHeight="14.25"/>
  <cols>
    <col customWidth="1" min="1" max="1" width="4"/>
    <col customWidth="1" min="2" max="2" width="110"/>
  </cols>
  <sheetData>
    <row r="1" ht="16.5" customHeight="1">
      <c r="B1" s="1" t="s">
        <v>0</v>
      </c>
    </row>
    <row r="2">
      <c r="B2" s="2" t="s">
        <v>1</v>
      </c>
    </row>
    <row r="3">
      <c r="B3" s="3"/>
    </row>
    <row r="4" ht="16" customHeight="1">
      <c r="B4" s="4" t="s">
        <v>2</v>
      </c>
    </row>
    <row r="5">
      <c r="B5" s="5" t="s">
        <v>3</v>
      </c>
    </row>
    <row r="6">
      <c r="B6" s="5" t="s">
        <v>4</v>
      </c>
    </row>
    <row r="7">
      <c r="B7" s="5" t="s">
        <v>5</v>
      </c>
    </row>
    <row r="8">
      <c r="B8" s="3"/>
    </row>
    <row r="9" ht="16" customHeight="1">
      <c r="B9" s="4" t="s">
        <v>6</v>
      </c>
    </row>
    <row r="10" ht="25.5" customHeight="1">
      <c r="B10" s="3" t="s">
        <v>7</v>
      </c>
    </row>
    <row r="11">
      <c r="B11" s="3" t="s">
        <v>8</v>
      </c>
    </row>
    <row r="12">
      <c r="B12" s="3" t="s">
        <v>9</v>
      </c>
    </row>
    <row r="13">
      <c r="B13" s="3" t="s">
        <v>10</v>
      </c>
    </row>
    <row r="14">
      <c r="B14" s="3"/>
    </row>
    <row r="15" ht="16" customHeight="1">
      <c r="B15" s="4" t="s">
        <v>11</v>
      </c>
    </row>
    <row r="16" ht="25.5" customHeight="1">
      <c r="B16" s="3" t="s">
        <v>12</v>
      </c>
    </row>
    <row r="17">
      <c r="B17" s="3" t="s">
        <v>13</v>
      </c>
    </row>
    <row r="18">
      <c r="B18" s="3" t="s">
        <v>14</v>
      </c>
    </row>
    <row r="19">
      <c r="B19" s="3" t="s">
        <v>15</v>
      </c>
    </row>
    <row r="20">
      <c r="B20" s="3" t="s">
        <v>16</v>
      </c>
    </row>
    <row r="21">
      <c r="B21" s="3" t="s">
        <v>17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3" topLeftCell="B4" activePane="bottomRight" state="frozen"/>
      <selection activeCell="A1" activeCellId="0" sqref="A1"/>
    </sheetView>
  </sheetViews>
  <sheetFormatPr baseColWidth="10" defaultColWidth="8.83203125" defaultRowHeight="14.25"/>
  <cols>
    <col customWidth="1" min="1" max="1" width="9"/>
    <col customWidth="1" min="2" max="2" width="28"/>
    <col customWidth="1" min="3" max="3" width="22"/>
    <col customWidth="1" min="4" max="4" width="18"/>
    <col customWidth="1" min="5" max="5" width="36"/>
    <col customWidth="1" min="6" max="6" width="12"/>
    <col customWidth="1" min="7" max="7" width="18"/>
    <col customWidth="1" min="8" max="8" width="22"/>
    <col customWidth="1" min="9" max="9" width="18"/>
    <col customWidth="1" min="10" max="10" width="16"/>
    <col customWidth="1" min="11" max="13" width="14"/>
    <col customWidth="1" min="14" max="14" width="20"/>
    <col customWidth="1" min="15" max="15" width="26"/>
    <col customWidth="1" min="16" max="16" width="32"/>
  </cols>
  <sheetData>
    <row r="1" ht="16.5" customHeight="1">
      <c r="A1" s="6" t="s">
        <v>18</v>
      </c>
    </row>
    <row r="2">
      <c r="A2" s="7" t="s">
        <v>19</v>
      </c>
    </row>
    <row r="3" ht="42" customHeight="1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8" t="s">
        <v>29</v>
      </c>
      <c r="K3" s="8" t="s">
        <v>30</v>
      </c>
      <c r="L3" s="8" t="s">
        <v>31</v>
      </c>
      <c r="M3" s="8" t="s">
        <v>32</v>
      </c>
      <c r="N3" s="8" t="s">
        <v>33</v>
      </c>
      <c r="O3" s="8" t="s">
        <v>34</v>
      </c>
      <c r="P3" s="8" t="s">
        <v>35</v>
      </c>
    </row>
    <row r="4" ht="45" customHeight="1">
      <c r="A4" s="9" t="s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 t="s">
        <v>42</v>
      </c>
      <c r="H4" s="9" t="s">
        <v>43</v>
      </c>
      <c r="I4" s="9" t="s">
        <v>44</v>
      </c>
      <c r="J4" s="9" t="s">
        <v>45</v>
      </c>
      <c r="K4" s="9" t="s">
        <v>46</v>
      </c>
      <c r="L4" s="9" t="s">
        <v>47</v>
      </c>
      <c r="M4" s="9" t="s">
        <v>48</v>
      </c>
      <c r="N4" s="9" t="s">
        <v>49</v>
      </c>
      <c r="O4" s="9" t="s">
        <v>50</v>
      </c>
      <c r="P4" s="9" t="s">
        <v>51</v>
      </c>
    </row>
    <row r="5" ht="51" customHeight="1">
      <c r="A5" s="10" t="s">
        <v>52</v>
      </c>
      <c r="B5" s="10" t="s">
        <v>53</v>
      </c>
      <c r="C5" s="10" t="s">
        <v>54</v>
      </c>
      <c r="D5" s="10" t="s">
        <v>55</v>
      </c>
      <c r="E5" s="11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0" t="s">
        <v>64</v>
      </c>
      <c r="N5" s="10" t="s">
        <v>49</v>
      </c>
      <c r="O5" s="10" t="s">
        <v>65</v>
      </c>
      <c r="P5" s="10" t="s">
        <v>66</v>
      </c>
    </row>
    <row r="6" ht="51" customHeight="1">
      <c r="A6" s="10" t="s">
        <v>67</v>
      </c>
      <c r="B6" s="10" t="s">
        <v>68</v>
      </c>
      <c r="C6" s="10" t="s">
        <v>54</v>
      </c>
      <c r="D6" s="10" t="s">
        <v>55</v>
      </c>
      <c r="E6" s="10" t="s">
        <v>69</v>
      </c>
      <c r="F6" s="10" t="s">
        <v>57</v>
      </c>
      <c r="G6" s="10" t="s">
        <v>58</v>
      </c>
      <c r="H6" s="10" t="s">
        <v>59</v>
      </c>
      <c r="I6" s="10" t="s">
        <v>60</v>
      </c>
      <c r="J6" s="10" t="s">
        <v>70</v>
      </c>
      <c r="K6" s="10" t="s">
        <v>71</v>
      </c>
      <c r="L6" s="10" t="s">
        <v>63</v>
      </c>
      <c r="M6" s="10" t="s">
        <v>64</v>
      </c>
      <c r="N6" s="10" t="s">
        <v>49</v>
      </c>
      <c r="O6" s="10" t="s">
        <v>65</v>
      </c>
      <c r="P6" s="10" t="s">
        <v>72</v>
      </c>
    </row>
    <row r="7" ht="51" customHeight="1">
      <c r="A7" s="10" t="s">
        <v>73</v>
      </c>
      <c r="B7" s="10" t="s">
        <v>74</v>
      </c>
      <c r="C7" s="10" t="s">
        <v>75</v>
      </c>
      <c r="D7" s="10" t="s">
        <v>55</v>
      </c>
      <c r="E7" s="10" t="s">
        <v>76</v>
      </c>
      <c r="F7" s="10" t="s">
        <v>41</v>
      </c>
      <c r="G7" s="10" t="s">
        <v>42</v>
      </c>
      <c r="H7" s="10" t="s">
        <v>59</v>
      </c>
      <c r="I7" s="10" t="s">
        <v>60</v>
      </c>
      <c r="J7" s="10" t="s">
        <v>77</v>
      </c>
      <c r="K7" s="10" t="s">
        <v>71</v>
      </c>
      <c r="L7" s="10" t="s">
        <v>63</v>
      </c>
      <c r="M7" s="10" t="s">
        <v>64</v>
      </c>
      <c r="N7" s="10" t="s">
        <v>49</v>
      </c>
      <c r="O7" s="10" t="s">
        <v>78</v>
      </c>
      <c r="P7" s="10" t="s">
        <v>79</v>
      </c>
    </row>
    <row r="8" ht="51" customHeight="1">
      <c r="A8" s="10" t="s">
        <v>80</v>
      </c>
      <c r="B8" s="10" t="s">
        <v>81</v>
      </c>
      <c r="C8" s="10" t="s">
        <v>75</v>
      </c>
      <c r="D8" s="10" t="s">
        <v>55</v>
      </c>
      <c r="E8" s="10" t="s">
        <v>82</v>
      </c>
      <c r="F8" s="10" t="s">
        <v>41</v>
      </c>
      <c r="G8" s="10" t="s">
        <v>42</v>
      </c>
      <c r="H8" s="10" t="s">
        <v>59</v>
      </c>
      <c r="I8" s="10" t="s">
        <v>60</v>
      </c>
      <c r="J8" s="10" t="s">
        <v>77</v>
      </c>
      <c r="K8" s="10" t="s">
        <v>83</v>
      </c>
      <c r="L8" s="10" t="s">
        <v>84</v>
      </c>
      <c r="M8" s="10" t="s">
        <v>64</v>
      </c>
      <c r="N8" s="10" t="s">
        <v>49</v>
      </c>
      <c r="O8" s="10" t="s">
        <v>78</v>
      </c>
      <c r="P8" s="10" t="s">
        <v>85</v>
      </c>
    </row>
    <row r="9" ht="51" customHeight="1">
      <c r="A9" s="10" t="s">
        <v>86</v>
      </c>
      <c r="B9" s="10" t="s">
        <v>87</v>
      </c>
      <c r="C9" s="10" t="s">
        <v>88</v>
      </c>
      <c r="D9" s="10" t="s">
        <v>55</v>
      </c>
      <c r="E9" s="10" t="s">
        <v>89</v>
      </c>
      <c r="F9" s="10" t="s">
        <v>41</v>
      </c>
      <c r="G9" s="10" t="s">
        <v>42</v>
      </c>
      <c r="H9" s="10" t="s">
        <v>59</v>
      </c>
      <c r="I9" s="10" t="s">
        <v>44</v>
      </c>
      <c r="J9" s="10" t="s">
        <v>90</v>
      </c>
      <c r="K9" s="10" t="s">
        <v>91</v>
      </c>
      <c r="L9" s="10" t="s">
        <v>84</v>
      </c>
      <c r="M9" s="10" t="s">
        <v>64</v>
      </c>
      <c r="N9" s="10" t="s">
        <v>49</v>
      </c>
      <c r="O9" s="10" t="s">
        <v>78</v>
      </c>
      <c r="P9" s="10" t="s">
        <v>92</v>
      </c>
    </row>
    <row r="10" ht="51" customHeight="1">
      <c r="A10" s="10" t="s">
        <v>93</v>
      </c>
      <c r="B10" s="10" t="s">
        <v>94</v>
      </c>
      <c r="C10" s="10" t="s">
        <v>95</v>
      </c>
      <c r="D10" s="10" t="s">
        <v>55</v>
      </c>
      <c r="E10" s="10" t="s">
        <v>96</v>
      </c>
      <c r="F10" s="10" t="s">
        <v>41</v>
      </c>
      <c r="G10" s="10" t="s">
        <v>42</v>
      </c>
      <c r="H10" s="10" t="s">
        <v>59</v>
      </c>
      <c r="I10" s="10" t="s">
        <v>60</v>
      </c>
      <c r="J10" s="10" t="s">
        <v>77</v>
      </c>
      <c r="K10" s="10" t="s">
        <v>97</v>
      </c>
      <c r="L10" s="10" t="s">
        <v>84</v>
      </c>
      <c r="M10" s="10" t="s">
        <v>64</v>
      </c>
      <c r="N10" s="10" t="s">
        <v>49</v>
      </c>
      <c r="O10" s="10" t="s">
        <v>78</v>
      </c>
      <c r="P10" s="10" t="s">
        <v>98</v>
      </c>
    </row>
    <row r="11" ht="63.75" customHeight="1">
      <c r="A11" s="10" t="s">
        <v>99</v>
      </c>
      <c r="B11" s="10" t="s">
        <v>100</v>
      </c>
      <c r="C11" s="10" t="s">
        <v>54</v>
      </c>
      <c r="D11" s="10" t="s">
        <v>55</v>
      </c>
      <c r="E11" s="10" t="s">
        <v>101</v>
      </c>
      <c r="F11" s="10" t="s">
        <v>57</v>
      </c>
      <c r="G11" s="10" t="s">
        <v>58</v>
      </c>
      <c r="H11" s="10" t="s">
        <v>59</v>
      </c>
      <c r="I11" s="10" t="s">
        <v>60</v>
      </c>
      <c r="J11" s="10" t="s">
        <v>102</v>
      </c>
      <c r="K11" s="10" t="s">
        <v>103</v>
      </c>
      <c r="L11" s="10" t="s">
        <v>47</v>
      </c>
      <c r="M11" s="10" t="s">
        <v>104</v>
      </c>
      <c r="N11" s="10" t="s">
        <v>49</v>
      </c>
      <c r="O11" s="10" t="s">
        <v>65</v>
      </c>
      <c r="P11" s="10" t="s">
        <v>105</v>
      </c>
    </row>
    <row r="12" ht="51" customHeight="1">
      <c r="A12" s="10" t="s">
        <v>106</v>
      </c>
      <c r="B12" s="10" t="s">
        <v>107</v>
      </c>
      <c r="C12" s="10" t="s">
        <v>88</v>
      </c>
      <c r="D12" s="10" t="s">
        <v>55</v>
      </c>
      <c r="E12" s="10" t="s">
        <v>108</v>
      </c>
      <c r="F12" s="10" t="s">
        <v>41</v>
      </c>
      <c r="G12" s="10" t="s">
        <v>42</v>
      </c>
      <c r="H12" s="10" t="s">
        <v>59</v>
      </c>
      <c r="I12" s="10" t="s">
        <v>44</v>
      </c>
      <c r="J12" s="10" t="s">
        <v>109</v>
      </c>
      <c r="K12" s="10" t="s">
        <v>110</v>
      </c>
      <c r="L12" s="10" t="s">
        <v>84</v>
      </c>
      <c r="M12" s="10" t="s">
        <v>104</v>
      </c>
      <c r="N12" s="10" t="s">
        <v>49</v>
      </c>
      <c r="O12" s="10" t="s">
        <v>78</v>
      </c>
      <c r="P12" s="10" t="s">
        <v>111</v>
      </c>
    </row>
    <row r="13" ht="51" customHeight="1">
      <c r="A13" s="10" t="s">
        <v>112</v>
      </c>
      <c r="B13" s="10" t="s">
        <v>113</v>
      </c>
      <c r="C13" s="10" t="s">
        <v>114</v>
      </c>
      <c r="D13" s="10" t="s">
        <v>55</v>
      </c>
      <c r="E13" s="10" t="s">
        <v>115</v>
      </c>
      <c r="F13" s="10" t="s">
        <v>41</v>
      </c>
      <c r="G13" s="10" t="s">
        <v>42</v>
      </c>
      <c r="H13" s="10" t="s">
        <v>59</v>
      </c>
      <c r="I13" s="10" t="s">
        <v>44</v>
      </c>
      <c r="J13" s="10" t="s">
        <v>116</v>
      </c>
      <c r="K13" s="10" t="s">
        <v>117</v>
      </c>
      <c r="L13" s="10" t="s">
        <v>84</v>
      </c>
      <c r="M13" s="10" t="s">
        <v>104</v>
      </c>
      <c r="N13" s="10" t="s">
        <v>49</v>
      </c>
      <c r="O13" s="10" t="s">
        <v>118</v>
      </c>
      <c r="P13" s="10" t="s">
        <v>119</v>
      </c>
    </row>
    <row r="14" ht="51" customHeight="1">
      <c r="A14" s="10" t="s">
        <v>120</v>
      </c>
      <c r="B14" s="10" t="s">
        <v>121</v>
      </c>
      <c r="C14" s="10" t="s">
        <v>75</v>
      </c>
      <c r="D14" s="10" t="s">
        <v>55</v>
      </c>
      <c r="E14" s="10" t="s">
        <v>122</v>
      </c>
      <c r="F14" s="10" t="s">
        <v>41</v>
      </c>
      <c r="G14" s="10" t="s">
        <v>42</v>
      </c>
      <c r="H14" s="10" t="s">
        <v>59</v>
      </c>
      <c r="I14" s="10" t="s">
        <v>44</v>
      </c>
      <c r="J14" s="10" t="s">
        <v>123</v>
      </c>
      <c r="K14" s="10" t="s">
        <v>124</v>
      </c>
      <c r="L14" s="10" t="s">
        <v>63</v>
      </c>
      <c r="M14" s="10" t="s">
        <v>104</v>
      </c>
      <c r="N14" s="10" t="s">
        <v>49</v>
      </c>
      <c r="O14" s="10" t="s">
        <v>78</v>
      </c>
      <c r="P14" s="10" t="s">
        <v>125</v>
      </c>
    </row>
    <row r="15" ht="51" customHeight="1">
      <c r="A15" s="10" t="s">
        <v>126</v>
      </c>
      <c r="B15" s="10" t="s">
        <v>127</v>
      </c>
      <c r="C15" s="10" t="s">
        <v>128</v>
      </c>
      <c r="D15" s="10" t="s">
        <v>55</v>
      </c>
      <c r="E15" s="10" t="s">
        <v>129</v>
      </c>
      <c r="F15" s="10" t="s">
        <v>41</v>
      </c>
      <c r="G15" s="10" t="s">
        <v>42</v>
      </c>
      <c r="H15" s="10" t="s">
        <v>59</v>
      </c>
      <c r="I15" s="10" t="s">
        <v>60</v>
      </c>
      <c r="J15" s="10" t="s">
        <v>130</v>
      </c>
      <c r="K15" s="10" t="s">
        <v>131</v>
      </c>
      <c r="L15" s="10" t="s">
        <v>132</v>
      </c>
      <c r="M15" s="10" t="s">
        <v>104</v>
      </c>
      <c r="N15" s="10" t="s">
        <v>49</v>
      </c>
      <c r="O15" s="10" t="s">
        <v>78</v>
      </c>
      <c r="P15" s="10" t="s">
        <v>133</v>
      </c>
    </row>
    <row r="16" ht="51" customHeight="1">
      <c r="A16" s="10" t="s">
        <v>134</v>
      </c>
      <c r="B16" s="10" t="s">
        <v>135</v>
      </c>
      <c r="C16" s="10" t="s">
        <v>136</v>
      </c>
      <c r="D16" s="10" t="s">
        <v>137</v>
      </c>
      <c r="E16" s="10" t="s">
        <v>138</v>
      </c>
      <c r="F16" s="10" t="s">
        <v>41</v>
      </c>
      <c r="G16" s="10" t="s">
        <v>42</v>
      </c>
      <c r="H16" s="10" t="s">
        <v>139</v>
      </c>
      <c r="I16" s="10" t="s">
        <v>60</v>
      </c>
      <c r="J16" s="10" t="s">
        <v>140</v>
      </c>
      <c r="K16" s="10" t="s">
        <v>141</v>
      </c>
      <c r="L16" s="10" t="s">
        <v>84</v>
      </c>
      <c r="M16" s="10" t="s">
        <v>104</v>
      </c>
      <c r="N16" s="10" t="s">
        <v>49</v>
      </c>
      <c r="O16" s="10" t="s">
        <v>142</v>
      </c>
      <c r="P16" s="10" t="s">
        <v>143</v>
      </c>
    </row>
    <row r="17" ht="51" customHeight="1">
      <c r="A17" s="10" t="s">
        <v>144</v>
      </c>
      <c r="B17" s="10" t="s">
        <v>145</v>
      </c>
      <c r="C17" s="10" t="s">
        <v>146</v>
      </c>
      <c r="D17" s="10" t="s">
        <v>55</v>
      </c>
      <c r="E17" s="10" t="s">
        <v>147</v>
      </c>
      <c r="F17" s="10" t="s">
        <v>41</v>
      </c>
      <c r="G17" s="10" t="s">
        <v>42</v>
      </c>
      <c r="H17" s="10" t="s">
        <v>139</v>
      </c>
      <c r="I17" s="10" t="s">
        <v>60</v>
      </c>
      <c r="J17" s="10" t="s">
        <v>148</v>
      </c>
      <c r="K17" s="10" t="s">
        <v>149</v>
      </c>
      <c r="L17" s="10" t="s">
        <v>47</v>
      </c>
      <c r="M17" s="10" t="s">
        <v>64</v>
      </c>
      <c r="N17" s="10" t="s">
        <v>49</v>
      </c>
      <c r="O17" s="10" t="s">
        <v>142</v>
      </c>
      <c r="P17" s="10" t="s">
        <v>150</v>
      </c>
    </row>
    <row r="18" ht="51" customHeight="1">
      <c r="A18" s="10" t="s">
        <v>151</v>
      </c>
      <c r="B18" s="10" t="s">
        <v>152</v>
      </c>
      <c r="C18" s="10" t="s">
        <v>146</v>
      </c>
      <c r="D18" s="10" t="s">
        <v>55</v>
      </c>
      <c r="E18" s="10" t="s">
        <v>153</v>
      </c>
      <c r="F18" s="10" t="s">
        <v>41</v>
      </c>
      <c r="G18" s="10" t="s">
        <v>42</v>
      </c>
      <c r="H18" s="10" t="s">
        <v>139</v>
      </c>
      <c r="I18" s="10" t="s">
        <v>60</v>
      </c>
      <c r="J18" s="10" t="s">
        <v>148</v>
      </c>
      <c r="K18" s="10" t="s">
        <v>149</v>
      </c>
      <c r="L18" s="10" t="s">
        <v>47</v>
      </c>
      <c r="M18" s="10" t="s">
        <v>64</v>
      </c>
      <c r="N18" s="10" t="s">
        <v>49</v>
      </c>
      <c r="O18" s="10" t="s">
        <v>142</v>
      </c>
      <c r="P18" s="10" t="s">
        <v>150</v>
      </c>
    </row>
    <row r="19" ht="51" customHeight="1">
      <c r="A19" s="10" t="s">
        <v>154</v>
      </c>
      <c r="B19" s="10" t="s">
        <v>155</v>
      </c>
      <c r="C19" s="10" t="s">
        <v>146</v>
      </c>
      <c r="D19" s="10" t="s">
        <v>55</v>
      </c>
      <c r="E19" s="10" t="s">
        <v>156</v>
      </c>
      <c r="F19" s="10" t="s">
        <v>41</v>
      </c>
      <c r="G19" s="10" t="s">
        <v>42</v>
      </c>
      <c r="H19" s="10" t="s">
        <v>139</v>
      </c>
      <c r="I19" s="10" t="s">
        <v>60</v>
      </c>
      <c r="J19" s="10" t="s">
        <v>148</v>
      </c>
      <c r="K19" s="10" t="s">
        <v>149</v>
      </c>
      <c r="L19" s="10" t="s">
        <v>47</v>
      </c>
      <c r="M19" s="10" t="s">
        <v>64</v>
      </c>
      <c r="N19" s="10" t="s">
        <v>49</v>
      </c>
      <c r="O19" s="10" t="s">
        <v>142</v>
      </c>
      <c r="P19" s="10" t="s">
        <v>157</v>
      </c>
    </row>
    <row r="20" ht="51" customHeight="1">
      <c r="A20" s="10" t="s">
        <v>158</v>
      </c>
      <c r="B20" s="10" t="s">
        <v>159</v>
      </c>
      <c r="C20" s="10" t="s">
        <v>146</v>
      </c>
      <c r="D20" s="10" t="s">
        <v>55</v>
      </c>
      <c r="E20" s="10" t="s">
        <v>160</v>
      </c>
      <c r="F20" s="10" t="s">
        <v>41</v>
      </c>
      <c r="G20" s="10" t="s">
        <v>42</v>
      </c>
      <c r="H20" s="10" t="s">
        <v>139</v>
      </c>
      <c r="I20" s="10" t="s">
        <v>60</v>
      </c>
      <c r="J20" s="10" t="s">
        <v>148</v>
      </c>
      <c r="K20" s="10" t="s">
        <v>149</v>
      </c>
      <c r="L20" s="10" t="s">
        <v>47</v>
      </c>
      <c r="M20" s="10" t="s">
        <v>64</v>
      </c>
      <c r="N20" s="10" t="s">
        <v>49</v>
      </c>
      <c r="O20" s="10" t="s">
        <v>142</v>
      </c>
      <c r="P20" s="10" t="s">
        <v>157</v>
      </c>
    </row>
    <row r="21" ht="51" customHeight="1">
      <c r="A21" s="10" t="s">
        <v>161</v>
      </c>
      <c r="B21" s="10" t="s">
        <v>162</v>
      </c>
      <c r="C21" s="10" t="s">
        <v>146</v>
      </c>
      <c r="D21" s="10" t="s">
        <v>55</v>
      </c>
      <c r="E21" s="10" t="s">
        <v>163</v>
      </c>
      <c r="F21" s="10" t="s">
        <v>41</v>
      </c>
      <c r="G21" s="10" t="s">
        <v>42</v>
      </c>
      <c r="H21" s="10" t="s">
        <v>139</v>
      </c>
      <c r="I21" s="10" t="s">
        <v>60</v>
      </c>
      <c r="J21" s="10" t="s">
        <v>148</v>
      </c>
      <c r="K21" s="10" t="s">
        <v>149</v>
      </c>
      <c r="L21" s="10" t="s">
        <v>47</v>
      </c>
      <c r="M21" s="10" t="s">
        <v>64</v>
      </c>
      <c r="N21" s="10" t="s">
        <v>49</v>
      </c>
      <c r="O21" s="10" t="s">
        <v>142</v>
      </c>
      <c r="P21" s="10" t="s">
        <v>164</v>
      </c>
    </row>
    <row r="22" ht="51" customHeight="1">
      <c r="A22" s="10" t="s">
        <v>165</v>
      </c>
      <c r="B22" s="10" t="s">
        <v>166</v>
      </c>
      <c r="C22" s="10" t="s">
        <v>146</v>
      </c>
      <c r="D22" s="10" t="s">
        <v>55</v>
      </c>
      <c r="E22" s="10" t="s">
        <v>167</v>
      </c>
      <c r="F22" s="10" t="s">
        <v>41</v>
      </c>
      <c r="G22" s="10" t="s">
        <v>42</v>
      </c>
      <c r="H22" s="10" t="s">
        <v>139</v>
      </c>
      <c r="I22" s="10" t="s">
        <v>60</v>
      </c>
      <c r="J22" s="10" t="s">
        <v>148</v>
      </c>
      <c r="K22" s="10" t="s">
        <v>149</v>
      </c>
      <c r="L22" s="10" t="s">
        <v>47</v>
      </c>
      <c r="M22" s="10" t="s">
        <v>64</v>
      </c>
      <c r="N22" s="10" t="s">
        <v>49</v>
      </c>
      <c r="O22" s="10" t="s">
        <v>142</v>
      </c>
      <c r="P22" s="10" t="s">
        <v>164</v>
      </c>
    </row>
    <row r="23" ht="51" customHeight="1">
      <c r="A23" s="10" t="s">
        <v>168</v>
      </c>
      <c r="B23" s="10" t="s">
        <v>169</v>
      </c>
      <c r="C23" s="10" t="s">
        <v>146</v>
      </c>
      <c r="D23" s="10" t="s">
        <v>55</v>
      </c>
      <c r="E23" s="10" t="s">
        <v>170</v>
      </c>
      <c r="F23" s="10" t="s">
        <v>41</v>
      </c>
      <c r="G23" s="10" t="s">
        <v>42</v>
      </c>
      <c r="H23" s="10" t="s">
        <v>139</v>
      </c>
      <c r="I23" s="10" t="s">
        <v>60</v>
      </c>
      <c r="J23" s="10" t="s">
        <v>148</v>
      </c>
      <c r="K23" s="10" t="s">
        <v>149</v>
      </c>
      <c r="L23" s="10" t="s">
        <v>47</v>
      </c>
      <c r="M23" s="10" t="s">
        <v>64</v>
      </c>
      <c r="N23" s="10" t="s">
        <v>49</v>
      </c>
      <c r="O23" s="10" t="s">
        <v>142</v>
      </c>
      <c r="P23" s="10" t="s">
        <v>157</v>
      </c>
    </row>
    <row r="24" ht="63.75" customHeight="1">
      <c r="A24" s="10" t="s">
        <v>171</v>
      </c>
      <c r="B24" s="10" t="s">
        <v>172</v>
      </c>
      <c r="C24" s="10" t="s">
        <v>173</v>
      </c>
      <c r="D24" s="10" t="s">
        <v>55</v>
      </c>
      <c r="E24" s="10" t="s">
        <v>174</v>
      </c>
      <c r="F24" s="10" t="s">
        <v>175</v>
      </c>
      <c r="G24" s="10" t="s">
        <v>58</v>
      </c>
      <c r="H24" s="10" t="s">
        <v>59</v>
      </c>
      <c r="I24" s="10" t="s">
        <v>60</v>
      </c>
      <c r="J24" s="10" t="s">
        <v>176</v>
      </c>
      <c r="K24" s="10" t="s">
        <v>177</v>
      </c>
      <c r="L24" s="10" t="s">
        <v>63</v>
      </c>
      <c r="M24" s="10" t="s">
        <v>64</v>
      </c>
      <c r="N24" s="10" t="s">
        <v>49</v>
      </c>
      <c r="O24" s="10" t="s">
        <v>178</v>
      </c>
      <c r="P24" s="10" t="s">
        <v>179</v>
      </c>
    </row>
    <row r="25" ht="63.75" customHeight="1">
      <c r="A25" s="10" t="s">
        <v>180</v>
      </c>
      <c r="B25" s="10" t="s">
        <v>181</v>
      </c>
      <c r="C25" s="10" t="s">
        <v>173</v>
      </c>
      <c r="D25" s="10" t="s">
        <v>55</v>
      </c>
      <c r="E25" s="10" t="s">
        <v>182</v>
      </c>
      <c r="F25" s="10" t="s">
        <v>175</v>
      </c>
      <c r="G25" s="10" t="s">
        <v>58</v>
      </c>
      <c r="H25" s="10" t="s">
        <v>59</v>
      </c>
      <c r="I25" s="10" t="s">
        <v>60</v>
      </c>
      <c r="J25" s="10" t="s">
        <v>176</v>
      </c>
      <c r="K25" s="10" t="s">
        <v>177</v>
      </c>
      <c r="L25" s="10" t="s">
        <v>63</v>
      </c>
      <c r="M25" s="10" t="s">
        <v>64</v>
      </c>
      <c r="N25" s="10" t="s">
        <v>49</v>
      </c>
      <c r="O25" s="10" t="s">
        <v>178</v>
      </c>
      <c r="P25" s="10" t="s">
        <v>179</v>
      </c>
    </row>
    <row r="26" ht="63.75" customHeight="1">
      <c r="A26" s="10" t="s">
        <v>183</v>
      </c>
      <c r="B26" s="10" t="s">
        <v>184</v>
      </c>
      <c r="C26" s="10" t="s">
        <v>173</v>
      </c>
      <c r="D26" s="10" t="s">
        <v>55</v>
      </c>
      <c r="E26" s="10" t="s">
        <v>185</v>
      </c>
      <c r="F26" s="10" t="s">
        <v>175</v>
      </c>
      <c r="G26" s="10" t="s">
        <v>58</v>
      </c>
      <c r="H26" s="10" t="s">
        <v>59</v>
      </c>
      <c r="I26" s="10" t="s">
        <v>60</v>
      </c>
      <c r="J26" s="10" t="s">
        <v>176</v>
      </c>
      <c r="K26" s="10" t="s">
        <v>177</v>
      </c>
      <c r="L26" s="10" t="s">
        <v>63</v>
      </c>
      <c r="M26" s="10" t="s">
        <v>64</v>
      </c>
      <c r="N26" s="10" t="s">
        <v>49</v>
      </c>
      <c r="O26" s="10" t="s">
        <v>178</v>
      </c>
      <c r="P26" s="10" t="s">
        <v>179</v>
      </c>
    </row>
    <row r="27" ht="63.75" customHeight="1">
      <c r="A27" s="10" t="s">
        <v>186</v>
      </c>
      <c r="B27" s="10" t="s">
        <v>187</v>
      </c>
      <c r="C27" s="10" t="s">
        <v>173</v>
      </c>
      <c r="D27" s="10" t="s">
        <v>55</v>
      </c>
      <c r="E27" s="10" t="s">
        <v>188</v>
      </c>
      <c r="F27" s="10" t="s">
        <v>175</v>
      </c>
      <c r="G27" s="10" t="s">
        <v>58</v>
      </c>
      <c r="H27" s="10" t="s">
        <v>59</v>
      </c>
      <c r="I27" s="10" t="s">
        <v>60</v>
      </c>
      <c r="J27" s="10" t="s">
        <v>176</v>
      </c>
      <c r="K27" s="10" t="s">
        <v>177</v>
      </c>
      <c r="L27" s="10" t="s">
        <v>63</v>
      </c>
      <c r="M27" s="10" t="s">
        <v>64</v>
      </c>
      <c r="N27" s="10" t="s">
        <v>49</v>
      </c>
      <c r="O27" s="10" t="s">
        <v>178</v>
      </c>
      <c r="P27" s="10" t="s">
        <v>179</v>
      </c>
    </row>
    <row r="28" ht="63.75" customHeight="1">
      <c r="A28" s="10" t="s">
        <v>189</v>
      </c>
      <c r="B28" s="10" t="s">
        <v>190</v>
      </c>
      <c r="C28" s="10" t="s">
        <v>173</v>
      </c>
      <c r="D28" s="10" t="s">
        <v>55</v>
      </c>
      <c r="E28" s="10" t="s">
        <v>191</v>
      </c>
      <c r="F28" s="10" t="s">
        <v>175</v>
      </c>
      <c r="G28" s="10" t="s">
        <v>58</v>
      </c>
      <c r="H28" s="10" t="s">
        <v>59</v>
      </c>
      <c r="I28" s="10" t="s">
        <v>60</v>
      </c>
      <c r="J28" s="10" t="s">
        <v>176</v>
      </c>
      <c r="K28" s="10" t="s">
        <v>177</v>
      </c>
      <c r="L28" s="10" t="s">
        <v>63</v>
      </c>
      <c r="M28" s="10" t="s">
        <v>64</v>
      </c>
      <c r="N28" s="10" t="s">
        <v>49</v>
      </c>
      <c r="O28" s="10" t="s">
        <v>178</v>
      </c>
      <c r="P28" s="10" t="s">
        <v>179</v>
      </c>
    </row>
    <row r="29" ht="63.75" customHeight="1">
      <c r="A29" s="10" t="s">
        <v>192</v>
      </c>
      <c r="B29" s="10" t="s">
        <v>193</v>
      </c>
      <c r="C29" s="10" t="s">
        <v>173</v>
      </c>
      <c r="D29" s="10" t="s">
        <v>55</v>
      </c>
      <c r="E29" s="10" t="s">
        <v>194</v>
      </c>
      <c r="F29" s="10" t="s">
        <v>175</v>
      </c>
      <c r="G29" s="10" t="s">
        <v>58</v>
      </c>
      <c r="H29" s="10" t="s">
        <v>59</v>
      </c>
      <c r="I29" s="10" t="s">
        <v>60</v>
      </c>
      <c r="J29" s="10" t="s">
        <v>176</v>
      </c>
      <c r="K29" s="10" t="s">
        <v>177</v>
      </c>
      <c r="L29" s="10" t="s">
        <v>63</v>
      </c>
      <c r="M29" s="10" t="s">
        <v>64</v>
      </c>
      <c r="N29" s="10" t="s">
        <v>49</v>
      </c>
      <c r="O29" s="10" t="s">
        <v>178</v>
      </c>
      <c r="P29" s="10" t="s">
        <v>179</v>
      </c>
    </row>
    <row r="30" ht="63.75" customHeight="1">
      <c r="A30" s="10" t="s">
        <v>195</v>
      </c>
      <c r="B30" s="10" t="s">
        <v>196</v>
      </c>
      <c r="C30" s="10" t="s">
        <v>173</v>
      </c>
      <c r="D30" s="10" t="s">
        <v>55</v>
      </c>
      <c r="E30" s="10" t="s">
        <v>197</v>
      </c>
      <c r="F30" s="10" t="s">
        <v>175</v>
      </c>
      <c r="G30" s="10" t="s">
        <v>58</v>
      </c>
      <c r="H30" s="10" t="s">
        <v>59</v>
      </c>
      <c r="I30" s="10" t="s">
        <v>60</v>
      </c>
      <c r="J30" s="10" t="s">
        <v>176</v>
      </c>
      <c r="K30" s="10" t="s">
        <v>177</v>
      </c>
      <c r="L30" s="10" t="s">
        <v>63</v>
      </c>
      <c r="M30" s="10" t="s">
        <v>64</v>
      </c>
      <c r="N30" s="10" t="s">
        <v>49</v>
      </c>
      <c r="O30" s="10" t="s">
        <v>178</v>
      </c>
      <c r="P30" s="10" t="s">
        <v>179</v>
      </c>
    </row>
    <row r="31" ht="63.75" customHeight="1">
      <c r="A31" s="10" t="s">
        <v>198</v>
      </c>
      <c r="B31" s="10" t="s">
        <v>199</v>
      </c>
      <c r="C31" s="10" t="s">
        <v>173</v>
      </c>
      <c r="D31" s="10" t="s">
        <v>55</v>
      </c>
      <c r="E31" s="10" t="s">
        <v>200</v>
      </c>
      <c r="F31" s="10" t="s">
        <v>175</v>
      </c>
      <c r="G31" s="10" t="s">
        <v>58</v>
      </c>
      <c r="H31" s="10" t="s">
        <v>59</v>
      </c>
      <c r="I31" s="10" t="s">
        <v>60</v>
      </c>
      <c r="J31" s="10" t="s">
        <v>176</v>
      </c>
      <c r="K31" s="10" t="s">
        <v>177</v>
      </c>
      <c r="L31" s="10" t="s">
        <v>63</v>
      </c>
      <c r="M31" s="10" t="s">
        <v>64</v>
      </c>
      <c r="N31" s="10" t="s">
        <v>49</v>
      </c>
      <c r="O31" s="10" t="s">
        <v>178</v>
      </c>
      <c r="P31" s="10" t="s">
        <v>179</v>
      </c>
    </row>
    <row r="32" ht="51" customHeight="1">
      <c r="A32" s="10" t="s">
        <v>201</v>
      </c>
      <c r="B32" s="10" t="s">
        <v>202</v>
      </c>
      <c r="C32" s="10" t="s">
        <v>203</v>
      </c>
      <c r="D32" s="10" t="s">
        <v>55</v>
      </c>
      <c r="E32" s="10" t="s">
        <v>204</v>
      </c>
      <c r="F32" s="10" t="s">
        <v>41</v>
      </c>
      <c r="G32" s="10" t="s">
        <v>42</v>
      </c>
      <c r="H32" s="10" t="s">
        <v>139</v>
      </c>
      <c r="I32" s="10" t="s">
        <v>60</v>
      </c>
      <c r="J32" s="10" t="s">
        <v>205</v>
      </c>
      <c r="K32" s="10" t="s">
        <v>206</v>
      </c>
      <c r="L32" s="10" t="s">
        <v>47</v>
      </c>
      <c r="M32" s="10" t="s">
        <v>104</v>
      </c>
      <c r="N32" s="10" t="s">
        <v>49</v>
      </c>
      <c r="O32" s="10" t="s">
        <v>142</v>
      </c>
      <c r="P32" s="10" t="s">
        <v>207</v>
      </c>
    </row>
    <row r="33" ht="51" customHeight="1">
      <c r="A33" s="10" t="s">
        <v>208</v>
      </c>
      <c r="B33" s="10" t="s">
        <v>209</v>
      </c>
      <c r="C33" s="10" t="s">
        <v>210</v>
      </c>
      <c r="D33" s="10" t="s">
        <v>55</v>
      </c>
      <c r="E33" s="10" t="s">
        <v>211</v>
      </c>
      <c r="F33" s="10" t="s">
        <v>41</v>
      </c>
      <c r="G33" s="10" t="s">
        <v>42</v>
      </c>
      <c r="H33" s="10" t="s">
        <v>139</v>
      </c>
      <c r="I33" s="10" t="s">
        <v>60</v>
      </c>
      <c r="J33" s="10" t="s">
        <v>212</v>
      </c>
      <c r="K33" s="10" t="s">
        <v>213</v>
      </c>
      <c r="L33" s="10" t="s">
        <v>214</v>
      </c>
      <c r="M33" s="10" t="s">
        <v>104</v>
      </c>
      <c r="N33" s="10" t="s">
        <v>49</v>
      </c>
      <c r="O33" s="10" t="s">
        <v>142</v>
      </c>
      <c r="P33" s="10" t="s">
        <v>215</v>
      </c>
    </row>
    <row r="34" ht="51" customHeight="1">
      <c r="A34" s="10" t="s">
        <v>216</v>
      </c>
      <c r="B34" s="10" t="s">
        <v>217</v>
      </c>
      <c r="C34" s="10" t="s">
        <v>218</v>
      </c>
      <c r="D34" s="10" t="s">
        <v>55</v>
      </c>
      <c r="E34" s="10" t="s">
        <v>219</v>
      </c>
      <c r="F34" s="10" t="s">
        <v>175</v>
      </c>
      <c r="G34" s="10" t="s">
        <v>58</v>
      </c>
      <c r="H34" s="10" t="s">
        <v>59</v>
      </c>
      <c r="I34" s="10" t="s">
        <v>44</v>
      </c>
      <c r="J34" s="10" t="s">
        <v>220</v>
      </c>
      <c r="K34" s="10" t="s">
        <v>221</v>
      </c>
      <c r="L34" s="10" t="s">
        <v>63</v>
      </c>
      <c r="M34" s="10" t="s">
        <v>104</v>
      </c>
      <c r="N34" s="10" t="s">
        <v>49</v>
      </c>
      <c r="O34" s="10" t="s">
        <v>178</v>
      </c>
      <c r="P34" s="10" t="s">
        <v>222</v>
      </c>
    </row>
    <row r="35" ht="51" customHeight="1">
      <c r="A35" s="10" t="s">
        <v>223</v>
      </c>
      <c r="B35" s="10" t="s">
        <v>224</v>
      </c>
      <c r="C35" s="10" t="s">
        <v>218</v>
      </c>
      <c r="D35" s="10" t="s">
        <v>55</v>
      </c>
      <c r="E35" s="10" t="s">
        <v>225</v>
      </c>
      <c r="F35" s="10" t="s">
        <v>175</v>
      </c>
      <c r="G35" s="10" t="s">
        <v>58</v>
      </c>
      <c r="H35" s="10" t="s">
        <v>59</v>
      </c>
      <c r="I35" s="10" t="s">
        <v>60</v>
      </c>
      <c r="J35" s="10" t="s">
        <v>226</v>
      </c>
      <c r="K35" s="10" t="s">
        <v>227</v>
      </c>
      <c r="L35" s="10" t="s">
        <v>63</v>
      </c>
      <c r="M35" s="10" t="s">
        <v>104</v>
      </c>
      <c r="N35" s="10" t="s">
        <v>49</v>
      </c>
      <c r="O35" s="10" t="s">
        <v>178</v>
      </c>
      <c r="P35" s="10" t="s">
        <v>228</v>
      </c>
    </row>
    <row r="36" ht="51" customHeight="1">
      <c r="A36" s="10" t="s">
        <v>229</v>
      </c>
      <c r="B36" s="10" t="s">
        <v>230</v>
      </c>
      <c r="C36" s="10" t="s">
        <v>218</v>
      </c>
      <c r="D36" s="10" t="s">
        <v>55</v>
      </c>
      <c r="E36" s="10" t="s">
        <v>231</v>
      </c>
      <c r="F36" s="10" t="s">
        <v>175</v>
      </c>
      <c r="G36" s="10" t="s">
        <v>58</v>
      </c>
      <c r="H36" s="10" t="s">
        <v>59</v>
      </c>
      <c r="I36" s="10" t="s">
        <v>60</v>
      </c>
      <c r="J36" s="10" t="s">
        <v>232</v>
      </c>
      <c r="K36" s="10" t="s">
        <v>227</v>
      </c>
      <c r="L36" s="10" t="s">
        <v>63</v>
      </c>
      <c r="M36" s="10" t="s">
        <v>104</v>
      </c>
      <c r="N36" s="10" t="s">
        <v>49</v>
      </c>
      <c r="O36" s="10" t="s">
        <v>178</v>
      </c>
      <c r="P36" s="10" t="s">
        <v>228</v>
      </c>
    </row>
    <row r="37" ht="51" customHeight="1">
      <c r="A37" s="10" t="s">
        <v>233</v>
      </c>
      <c r="B37" s="10" t="s">
        <v>234</v>
      </c>
      <c r="C37" s="10" t="s">
        <v>235</v>
      </c>
      <c r="D37" s="10" t="s">
        <v>55</v>
      </c>
      <c r="E37" s="10" t="s">
        <v>236</v>
      </c>
      <c r="F37" s="10" t="s">
        <v>41</v>
      </c>
      <c r="G37" s="10" t="s">
        <v>42</v>
      </c>
      <c r="H37" s="10" t="s">
        <v>59</v>
      </c>
      <c r="I37" s="10" t="s">
        <v>44</v>
      </c>
      <c r="J37" s="10" t="s">
        <v>237</v>
      </c>
      <c r="K37" s="10" t="s">
        <v>238</v>
      </c>
      <c r="L37" s="10" t="s">
        <v>132</v>
      </c>
      <c r="M37" s="10" t="s">
        <v>104</v>
      </c>
      <c r="N37" s="10" t="s">
        <v>49</v>
      </c>
      <c r="O37" s="10" t="s">
        <v>78</v>
      </c>
      <c r="P37" s="10" t="s">
        <v>239</v>
      </c>
    </row>
    <row r="38" ht="76.5" customHeight="1">
      <c r="A38" s="10" t="s">
        <v>240</v>
      </c>
      <c r="B38" s="10" t="s">
        <v>241</v>
      </c>
      <c r="C38" s="10" t="s">
        <v>242</v>
      </c>
      <c r="D38" s="10" t="s">
        <v>39</v>
      </c>
      <c r="E38" s="10" t="s">
        <v>243</v>
      </c>
      <c r="F38" s="10" t="s">
        <v>41</v>
      </c>
      <c r="G38" s="10" t="s">
        <v>42</v>
      </c>
      <c r="H38" s="10" t="s">
        <v>244</v>
      </c>
      <c r="I38" s="10" t="s">
        <v>44</v>
      </c>
      <c r="J38" s="10" t="s">
        <v>245</v>
      </c>
      <c r="K38" s="10" t="s">
        <v>246</v>
      </c>
      <c r="L38" s="10" t="s">
        <v>247</v>
      </c>
      <c r="M38" s="10" t="s">
        <v>104</v>
      </c>
      <c r="N38" s="10" t="s">
        <v>49</v>
      </c>
      <c r="O38" s="10" t="s">
        <v>248</v>
      </c>
      <c r="P38" s="10" t="s">
        <v>249</v>
      </c>
    </row>
    <row r="39" ht="51" customHeight="1">
      <c r="A39" s="10" t="s">
        <v>250</v>
      </c>
      <c r="B39" s="10" t="s">
        <v>251</v>
      </c>
      <c r="C39" s="10" t="s">
        <v>252</v>
      </c>
      <c r="D39" s="10" t="s">
        <v>55</v>
      </c>
      <c r="E39" s="10" t="s">
        <v>253</v>
      </c>
      <c r="F39" s="10" t="s">
        <v>41</v>
      </c>
      <c r="G39" s="10" t="s">
        <v>42</v>
      </c>
      <c r="H39" s="10" t="s">
        <v>139</v>
      </c>
      <c r="I39" s="10" t="s">
        <v>44</v>
      </c>
      <c r="J39" s="10" t="s">
        <v>254</v>
      </c>
      <c r="K39" s="10" t="s">
        <v>255</v>
      </c>
      <c r="L39" s="10" t="s">
        <v>214</v>
      </c>
      <c r="M39" s="10" t="s">
        <v>104</v>
      </c>
      <c r="N39" s="10" t="s">
        <v>49</v>
      </c>
      <c r="O39" s="10" t="s">
        <v>142</v>
      </c>
      <c r="P39" s="10" t="s">
        <v>256</v>
      </c>
    </row>
    <row r="40" ht="51" customHeight="1">
      <c r="A40" s="10" t="s">
        <v>257</v>
      </c>
      <c r="B40" s="10" t="s">
        <v>258</v>
      </c>
      <c r="C40" s="10" t="s">
        <v>252</v>
      </c>
      <c r="D40" s="10" t="s">
        <v>55</v>
      </c>
      <c r="E40" s="10" t="s">
        <v>259</v>
      </c>
      <c r="F40" s="10" t="s">
        <v>41</v>
      </c>
      <c r="G40" s="10" t="s">
        <v>42</v>
      </c>
      <c r="H40" s="10" t="s">
        <v>139</v>
      </c>
      <c r="I40" s="10" t="s">
        <v>44</v>
      </c>
      <c r="J40" s="10" t="s">
        <v>254</v>
      </c>
      <c r="K40" s="10" t="s">
        <v>260</v>
      </c>
      <c r="L40" s="10" t="s">
        <v>214</v>
      </c>
      <c r="M40" s="10" t="s">
        <v>104</v>
      </c>
      <c r="N40" s="10" t="s">
        <v>49</v>
      </c>
      <c r="O40" s="10" t="s">
        <v>142</v>
      </c>
      <c r="P40" s="10" t="s">
        <v>256</v>
      </c>
    </row>
    <row r="41" ht="51" customHeight="1">
      <c r="A41" s="10" t="s">
        <v>261</v>
      </c>
      <c r="B41" s="10" t="s">
        <v>262</v>
      </c>
      <c r="C41" s="10" t="s">
        <v>263</v>
      </c>
      <c r="D41" s="10" t="s">
        <v>55</v>
      </c>
      <c r="E41" s="10" t="s">
        <v>264</v>
      </c>
      <c r="F41" s="10" t="s">
        <v>41</v>
      </c>
      <c r="G41" s="10" t="s">
        <v>42</v>
      </c>
      <c r="H41" s="10" t="s">
        <v>139</v>
      </c>
      <c r="I41" s="10" t="s">
        <v>44</v>
      </c>
      <c r="J41" s="10" t="s">
        <v>265</v>
      </c>
      <c r="K41" s="10" t="s">
        <v>110</v>
      </c>
      <c r="L41" s="10" t="s">
        <v>47</v>
      </c>
      <c r="M41" s="10" t="s">
        <v>104</v>
      </c>
      <c r="N41" s="10" t="s">
        <v>49</v>
      </c>
      <c r="O41" s="10" t="s">
        <v>142</v>
      </c>
      <c r="P41" s="10" t="s">
        <v>266</v>
      </c>
    </row>
    <row r="42" ht="51" customHeight="1">
      <c r="A42" s="10" t="s">
        <v>267</v>
      </c>
      <c r="B42" s="10" t="s">
        <v>268</v>
      </c>
      <c r="C42" s="10" t="s">
        <v>263</v>
      </c>
      <c r="D42" s="10" t="s">
        <v>55</v>
      </c>
      <c r="E42" s="10" t="s">
        <v>269</v>
      </c>
      <c r="F42" s="10" t="s">
        <v>41</v>
      </c>
      <c r="G42" s="10" t="s">
        <v>42</v>
      </c>
      <c r="H42" s="10" t="s">
        <v>139</v>
      </c>
      <c r="I42" s="10" t="s">
        <v>44</v>
      </c>
      <c r="J42" s="10" t="s">
        <v>265</v>
      </c>
      <c r="K42" s="10" t="s">
        <v>110</v>
      </c>
      <c r="L42" s="10" t="s">
        <v>47</v>
      </c>
      <c r="M42" s="10" t="s">
        <v>104</v>
      </c>
      <c r="N42" s="10" t="s">
        <v>49</v>
      </c>
      <c r="O42" s="10" t="s">
        <v>142</v>
      </c>
      <c r="P42" s="10" t="s">
        <v>266</v>
      </c>
    </row>
    <row r="43" ht="51" customHeight="1">
      <c r="A43" s="10" t="s">
        <v>270</v>
      </c>
      <c r="B43" s="10" t="s">
        <v>271</v>
      </c>
      <c r="C43" s="10" t="s">
        <v>75</v>
      </c>
      <c r="D43" s="10" t="s">
        <v>55</v>
      </c>
      <c r="E43" s="10" t="s">
        <v>272</v>
      </c>
      <c r="F43" s="10" t="s">
        <v>41</v>
      </c>
      <c r="G43" s="10" t="s">
        <v>42</v>
      </c>
      <c r="H43" s="10" t="s">
        <v>59</v>
      </c>
      <c r="I43" s="10" t="s">
        <v>44</v>
      </c>
      <c r="J43" s="10" t="s">
        <v>77</v>
      </c>
      <c r="K43" s="10" t="s">
        <v>273</v>
      </c>
      <c r="L43" s="10" t="s">
        <v>84</v>
      </c>
      <c r="M43" s="10" t="s">
        <v>104</v>
      </c>
      <c r="N43" s="10" t="s">
        <v>49</v>
      </c>
      <c r="O43" s="10" t="s">
        <v>78</v>
      </c>
      <c r="P43" s="10" t="s">
        <v>274</v>
      </c>
    </row>
    <row r="44" ht="63.75" customHeight="1">
      <c r="A44" s="10" t="s">
        <v>275</v>
      </c>
      <c r="B44" s="10" t="s">
        <v>276</v>
      </c>
      <c r="C44" s="10" t="s">
        <v>277</v>
      </c>
      <c r="D44" s="10" t="s">
        <v>55</v>
      </c>
      <c r="E44" s="10" t="s">
        <v>278</v>
      </c>
      <c r="F44" s="10" t="s">
        <v>41</v>
      </c>
      <c r="G44" s="10" t="s">
        <v>42</v>
      </c>
      <c r="H44" s="10" t="s">
        <v>139</v>
      </c>
      <c r="I44" s="10" t="s">
        <v>279</v>
      </c>
      <c r="J44" s="10" t="s">
        <v>280</v>
      </c>
      <c r="K44" s="10" t="s">
        <v>281</v>
      </c>
      <c r="L44" s="10" t="s">
        <v>282</v>
      </c>
      <c r="M44" s="10" t="s">
        <v>104</v>
      </c>
      <c r="N44" s="10" t="s">
        <v>49</v>
      </c>
      <c r="O44" s="10" t="s">
        <v>142</v>
      </c>
      <c r="P44" s="10" t="s">
        <v>283</v>
      </c>
    </row>
    <row r="45" ht="63.75" customHeight="1">
      <c r="A45" s="10" t="s">
        <v>284</v>
      </c>
      <c r="B45" s="10" t="s">
        <v>285</v>
      </c>
      <c r="C45" s="10" t="s">
        <v>286</v>
      </c>
      <c r="D45" s="10" t="s">
        <v>55</v>
      </c>
      <c r="E45" s="10" t="s">
        <v>287</v>
      </c>
      <c r="F45" s="10" t="s">
        <v>175</v>
      </c>
      <c r="G45" s="10" t="s">
        <v>58</v>
      </c>
      <c r="H45" s="10" t="s">
        <v>59</v>
      </c>
      <c r="I45" s="10" t="s">
        <v>60</v>
      </c>
      <c r="J45" s="10" t="s">
        <v>288</v>
      </c>
      <c r="K45" s="10" t="s">
        <v>289</v>
      </c>
      <c r="L45" s="10" t="s">
        <v>63</v>
      </c>
      <c r="M45" s="10" t="s">
        <v>104</v>
      </c>
      <c r="N45" s="10" t="s">
        <v>49</v>
      </c>
      <c r="O45" s="10" t="s">
        <v>178</v>
      </c>
      <c r="P45" s="10" t="s">
        <v>290</v>
      </c>
    </row>
    <row r="46" ht="51" customHeight="1">
      <c r="A46" s="10" t="s">
        <v>291</v>
      </c>
      <c r="B46" s="10" t="s">
        <v>292</v>
      </c>
      <c r="C46" s="10" t="s">
        <v>293</v>
      </c>
      <c r="D46" s="10" t="s">
        <v>55</v>
      </c>
      <c r="E46" s="10" t="s">
        <v>294</v>
      </c>
      <c r="F46" s="10" t="s">
        <v>175</v>
      </c>
      <c r="G46" s="10" t="s">
        <v>58</v>
      </c>
      <c r="H46" s="10" t="s">
        <v>59</v>
      </c>
      <c r="I46" s="10" t="s">
        <v>60</v>
      </c>
      <c r="J46" s="10" t="s">
        <v>77</v>
      </c>
      <c r="K46" s="10" t="s">
        <v>295</v>
      </c>
      <c r="L46" s="10" t="s">
        <v>63</v>
      </c>
      <c r="M46" s="10" t="s">
        <v>104</v>
      </c>
      <c r="N46" s="10" t="s">
        <v>49</v>
      </c>
      <c r="O46" s="10" t="s">
        <v>178</v>
      </c>
      <c r="P46" s="10" t="s">
        <v>296</v>
      </c>
    </row>
    <row r="47" ht="51" customHeight="1">
      <c r="A47" s="10" t="s">
        <v>297</v>
      </c>
      <c r="B47" s="10" t="s">
        <v>298</v>
      </c>
      <c r="C47" s="10" t="s">
        <v>293</v>
      </c>
      <c r="D47" s="10" t="s">
        <v>55</v>
      </c>
      <c r="E47" s="10" t="s">
        <v>299</v>
      </c>
      <c r="F47" s="10" t="s">
        <v>175</v>
      </c>
      <c r="G47" s="10" t="s">
        <v>58</v>
      </c>
      <c r="H47" s="10" t="s">
        <v>59</v>
      </c>
      <c r="I47" s="10" t="s">
        <v>60</v>
      </c>
      <c r="J47" s="10" t="s">
        <v>300</v>
      </c>
      <c r="K47" s="10" t="s">
        <v>301</v>
      </c>
      <c r="L47" s="10" t="s">
        <v>63</v>
      </c>
      <c r="M47" s="10" t="s">
        <v>104</v>
      </c>
      <c r="N47" s="10" t="s">
        <v>49</v>
      </c>
      <c r="O47" s="10" t="s">
        <v>178</v>
      </c>
      <c r="P47" s="10" t="s">
        <v>302</v>
      </c>
    </row>
    <row r="48" ht="51" customHeight="1">
      <c r="A48" s="10" t="s">
        <v>303</v>
      </c>
      <c r="B48" s="10" t="s">
        <v>304</v>
      </c>
      <c r="C48" s="10" t="s">
        <v>293</v>
      </c>
      <c r="D48" s="10" t="s">
        <v>55</v>
      </c>
      <c r="E48" s="10" t="s">
        <v>305</v>
      </c>
      <c r="F48" s="10" t="s">
        <v>175</v>
      </c>
      <c r="G48" s="10" t="s">
        <v>58</v>
      </c>
      <c r="H48" s="10" t="s">
        <v>59</v>
      </c>
      <c r="I48" s="10" t="s">
        <v>60</v>
      </c>
      <c r="J48" s="10" t="s">
        <v>306</v>
      </c>
      <c r="K48" s="10" t="s">
        <v>307</v>
      </c>
      <c r="L48" s="10" t="s">
        <v>63</v>
      </c>
      <c r="M48" s="10" t="s">
        <v>104</v>
      </c>
      <c r="N48" s="10" t="s">
        <v>49</v>
      </c>
      <c r="O48" s="10" t="s">
        <v>178</v>
      </c>
      <c r="P48" s="10" t="s">
        <v>308</v>
      </c>
    </row>
    <row r="49" ht="51" customHeight="1">
      <c r="A49" s="10" t="s">
        <v>309</v>
      </c>
      <c r="B49" s="10" t="s">
        <v>310</v>
      </c>
      <c r="C49" s="10" t="s">
        <v>293</v>
      </c>
      <c r="D49" s="10" t="s">
        <v>55</v>
      </c>
      <c r="E49" s="10" t="s">
        <v>311</v>
      </c>
      <c r="F49" s="10" t="s">
        <v>175</v>
      </c>
      <c r="G49" s="10" t="s">
        <v>58</v>
      </c>
      <c r="H49" s="10" t="s">
        <v>59</v>
      </c>
      <c r="I49" s="10" t="s">
        <v>60</v>
      </c>
      <c r="J49" s="10" t="s">
        <v>300</v>
      </c>
      <c r="K49" s="10" t="s">
        <v>312</v>
      </c>
      <c r="L49" s="10" t="s">
        <v>63</v>
      </c>
      <c r="M49" s="10" t="s">
        <v>104</v>
      </c>
      <c r="N49" s="10" t="s">
        <v>49</v>
      </c>
      <c r="O49" s="10" t="s">
        <v>178</v>
      </c>
      <c r="P49" s="10" t="s">
        <v>313</v>
      </c>
    </row>
    <row r="50" ht="51" customHeight="1">
      <c r="A50" s="10" t="s">
        <v>314</v>
      </c>
      <c r="B50" s="10" t="s">
        <v>315</v>
      </c>
      <c r="C50" s="10" t="s">
        <v>293</v>
      </c>
      <c r="D50" s="10" t="s">
        <v>55</v>
      </c>
      <c r="E50" s="10" t="s">
        <v>316</v>
      </c>
      <c r="F50" s="10" t="s">
        <v>175</v>
      </c>
      <c r="G50" s="10" t="s">
        <v>58</v>
      </c>
      <c r="H50" s="10" t="s">
        <v>59</v>
      </c>
      <c r="I50" s="10" t="s">
        <v>60</v>
      </c>
      <c r="J50" s="10" t="s">
        <v>300</v>
      </c>
      <c r="K50" s="10" t="s">
        <v>301</v>
      </c>
      <c r="L50" s="10" t="s">
        <v>63</v>
      </c>
      <c r="M50" s="10" t="s">
        <v>104</v>
      </c>
      <c r="N50" s="10" t="s">
        <v>49</v>
      </c>
      <c r="O50" s="10" t="s">
        <v>178</v>
      </c>
      <c r="P50" s="10" t="s">
        <v>302</v>
      </c>
    </row>
    <row r="51" ht="51" customHeight="1">
      <c r="A51" s="10" t="s">
        <v>317</v>
      </c>
      <c r="B51" s="10" t="s">
        <v>318</v>
      </c>
      <c r="C51" s="10" t="s">
        <v>293</v>
      </c>
      <c r="D51" s="10" t="s">
        <v>55</v>
      </c>
      <c r="E51" s="10" t="s">
        <v>319</v>
      </c>
      <c r="F51" s="10" t="s">
        <v>175</v>
      </c>
      <c r="G51" s="10" t="s">
        <v>58</v>
      </c>
      <c r="H51" s="10" t="s">
        <v>59</v>
      </c>
      <c r="I51" s="10" t="s">
        <v>60</v>
      </c>
      <c r="J51" s="10" t="s">
        <v>300</v>
      </c>
      <c r="K51" s="10" t="s">
        <v>301</v>
      </c>
      <c r="L51" s="10" t="s">
        <v>63</v>
      </c>
      <c r="M51" s="10" t="s">
        <v>104</v>
      </c>
      <c r="N51" s="10" t="s">
        <v>49</v>
      </c>
      <c r="O51" s="10" t="s">
        <v>178</v>
      </c>
      <c r="P51" s="10" t="s">
        <v>302</v>
      </c>
    </row>
    <row r="52" ht="63.75" customHeight="1">
      <c r="A52" s="10" t="s">
        <v>320</v>
      </c>
      <c r="B52" s="10" t="s">
        <v>321</v>
      </c>
      <c r="C52" s="10" t="s">
        <v>322</v>
      </c>
      <c r="D52" s="10" t="s">
        <v>55</v>
      </c>
      <c r="E52" s="10" t="s">
        <v>323</v>
      </c>
      <c r="F52" s="10" t="s">
        <v>41</v>
      </c>
      <c r="G52" s="10" t="s">
        <v>42</v>
      </c>
      <c r="H52" s="10" t="s">
        <v>139</v>
      </c>
      <c r="I52" s="10" t="s">
        <v>44</v>
      </c>
      <c r="J52" s="10" t="s">
        <v>324</v>
      </c>
      <c r="K52" s="10" t="s">
        <v>325</v>
      </c>
      <c r="L52" s="10" t="s">
        <v>47</v>
      </c>
      <c r="M52" s="10" t="s">
        <v>104</v>
      </c>
      <c r="N52" s="10" t="s">
        <v>49</v>
      </c>
      <c r="O52" s="10" t="s">
        <v>142</v>
      </c>
      <c r="P52" s="10" t="s">
        <v>326</v>
      </c>
    </row>
    <row r="53" ht="63.75" customHeight="1">
      <c r="A53" s="10" t="s">
        <v>327</v>
      </c>
      <c r="B53" s="10" t="s">
        <v>328</v>
      </c>
      <c r="C53" s="10" t="s">
        <v>322</v>
      </c>
      <c r="D53" s="10" t="s">
        <v>55</v>
      </c>
      <c r="E53" s="10" t="s">
        <v>329</v>
      </c>
      <c r="F53" s="10" t="s">
        <v>41</v>
      </c>
      <c r="G53" s="10" t="s">
        <v>42</v>
      </c>
      <c r="H53" s="10" t="s">
        <v>139</v>
      </c>
      <c r="I53" s="10" t="s">
        <v>44</v>
      </c>
      <c r="J53" s="10" t="s">
        <v>324</v>
      </c>
      <c r="K53" s="10" t="s">
        <v>330</v>
      </c>
      <c r="L53" s="10" t="s">
        <v>47</v>
      </c>
      <c r="M53" s="10" t="s">
        <v>104</v>
      </c>
      <c r="N53" s="10" t="s">
        <v>49</v>
      </c>
      <c r="O53" s="10" t="s">
        <v>142</v>
      </c>
      <c r="P53" s="10" t="s">
        <v>331</v>
      </c>
    </row>
    <row r="54" ht="38.25" customHeight="1">
      <c r="A54" s="10" t="s">
        <v>332</v>
      </c>
      <c r="B54" s="10" t="s">
        <v>333</v>
      </c>
      <c r="C54" s="10" t="s">
        <v>322</v>
      </c>
      <c r="D54" s="10" t="s">
        <v>55</v>
      </c>
      <c r="E54" s="10" t="s">
        <v>334</v>
      </c>
      <c r="F54" s="10" t="s">
        <v>335</v>
      </c>
      <c r="G54" s="10" t="s">
        <v>336</v>
      </c>
      <c r="H54" s="10" t="s">
        <v>59</v>
      </c>
      <c r="I54" s="10" t="s">
        <v>44</v>
      </c>
      <c r="J54" s="10" t="s">
        <v>337</v>
      </c>
      <c r="K54" s="10" t="s">
        <v>338</v>
      </c>
      <c r="L54" s="10" t="s">
        <v>47</v>
      </c>
      <c r="M54" s="10" t="s">
        <v>104</v>
      </c>
      <c r="N54" s="10" t="s">
        <v>49</v>
      </c>
      <c r="O54" s="10" t="s">
        <v>339</v>
      </c>
      <c r="P54" s="10" t="s">
        <v>340</v>
      </c>
    </row>
    <row r="55" ht="51" customHeight="1">
      <c r="A55" s="10" t="s">
        <v>341</v>
      </c>
      <c r="B55" s="10" t="s">
        <v>342</v>
      </c>
      <c r="C55" s="10" t="s">
        <v>343</v>
      </c>
      <c r="D55" s="10" t="s">
        <v>55</v>
      </c>
      <c r="E55" s="10" t="s">
        <v>344</v>
      </c>
      <c r="F55" s="10" t="s">
        <v>41</v>
      </c>
      <c r="G55" s="10" t="s">
        <v>42</v>
      </c>
      <c r="H55" s="10" t="s">
        <v>139</v>
      </c>
      <c r="I55" s="10" t="s">
        <v>44</v>
      </c>
      <c r="J55" s="10" t="s">
        <v>345</v>
      </c>
      <c r="K55" s="10" t="s">
        <v>346</v>
      </c>
      <c r="L55" s="10" t="s">
        <v>84</v>
      </c>
      <c r="M55" s="10" t="s">
        <v>104</v>
      </c>
      <c r="N55" s="10" t="s">
        <v>49</v>
      </c>
      <c r="O55" s="10" t="s">
        <v>142</v>
      </c>
      <c r="P55" s="10" t="s">
        <v>347</v>
      </c>
    </row>
    <row r="56" ht="63.75" customHeight="1">
      <c r="A56" s="10" t="s">
        <v>348</v>
      </c>
      <c r="B56" s="10" t="s">
        <v>349</v>
      </c>
      <c r="C56" s="10" t="s">
        <v>293</v>
      </c>
      <c r="D56" s="10" t="s">
        <v>55</v>
      </c>
      <c r="E56" s="10" t="s">
        <v>350</v>
      </c>
      <c r="F56" s="10" t="s">
        <v>175</v>
      </c>
      <c r="G56" s="10" t="s">
        <v>58</v>
      </c>
      <c r="H56" s="10" t="s">
        <v>59</v>
      </c>
      <c r="I56" s="10" t="s">
        <v>44</v>
      </c>
      <c r="J56" s="10" t="s">
        <v>351</v>
      </c>
      <c r="K56" s="10" t="s">
        <v>352</v>
      </c>
      <c r="L56" s="10" t="s">
        <v>132</v>
      </c>
      <c r="M56" s="10" t="s">
        <v>104</v>
      </c>
      <c r="N56" s="10" t="s">
        <v>49</v>
      </c>
      <c r="O56" s="10" t="s">
        <v>178</v>
      </c>
      <c r="P56" s="10" t="s">
        <v>353</v>
      </c>
    </row>
    <row r="57" ht="51" customHeight="1">
      <c r="A57" s="10" t="s">
        <v>354</v>
      </c>
      <c r="B57" s="10" t="s">
        <v>355</v>
      </c>
      <c r="C57" s="10" t="s">
        <v>356</v>
      </c>
      <c r="D57" s="10" t="s">
        <v>55</v>
      </c>
      <c r="E57" s="10" t="s">
        <v>357</v>
      </c>
      <c r="F57" s="10" t="s">
        <v>175</v>
      </c>
      <c r="G57" s="10" t="s">
        <v>58</v>
      </c>
      <c r="H57" s="10" t="s">
        <v>59</v>
      </c>
      <c r="I57" s="10" t="s">
        <v>60</v>
      </c>
      <c r="J57" s="10" t="s">
        <v>358</v>
      </c>
      <c r="K57" s="10" t="s">
        <v>359</v>
      </c>
      <c r="L57" s="10" t="s">
        <v>214</v>
      </c>
      <c r="M57" s="10" t="s">
        <v>104</v>
      </c>
      <c r="N57" s="10" t="s">
        <v>49</v>
      </c>
      <c r="O57" s="10" t="s">
        <v>360</v>
      </c>
      <c r="P57" s="10" t="s">
        <v>361</v>
      </c>
    </row>
    <row r="58" ht="51" customHeight="1">
      <c r="A58" s="10" t="s">
        <v>362</v>
      </c>
      <c r="B58" s="10" t="s">
        <v>363</v>
      </c>
      <c r="C58" s="10" t="s">
        <v>364</v>
      </c>
      <c r="D58" s="10" t="s">
        <v>55</v>
      </c>
      <c r="E58" s="10" t="s">
        <v>365</v>
      </c>
      <c r="F58" s="10" t="s">
        <v>41</v>
      </c>
      <c r="G58" s="10" t="s">
        <v>42</v>
      </c>
      <c r="H58" s="10" t="s">
        <v>59</v>
      </c>
      <c r="I58" s="10" t="s">
        <v>44</v>
      </c>
      <c r="J58" s="10" t="s">
        <v>366</v>
      </c>
      <c r="K58" s="10" t="s">
        <v>366</v>
      </c>
      <c r="L58" s="10" t="s">
        <v>132</v>
      </c>
      <c r="M58" s="10" t="s">
        <v>104</v>
      </c>
      <c r="N58" s="10" t="s">
        <v>367</v>
      </c>
      <c r="O58" s="10" t="s">
        <v>142</v>
      </c>
      <c r="P58" s="10" t="s">
        <v>368</v>
      </c>
    </row>
    <row r="59" ht="38.25" customHeight="1">
      <c r="A59" s="10" t="s">
        <v>369</v>
      </c>
      <c r="B59" s="10" t="s">
        <v>370</v>
      </c>
      <c r="C59" s="10" t="s">
        <v>371</v>
      </c>
      <c r="D59" s="10" t="s">
        <v>55</v>
      </c>
      <c r="E59" s="10" t="s">
        <v>372</v>
      </c>
      <c r="F59" s="10" t="s">
        <v>41</v>
      </c>
      <c r="G59" s="10" t="s">
        <v>58</v>
      </c>
      <c r="H59" s="10" t="s">
        <v>59</v>
      </c>
      <c r="I59" s="10" t="s">
        <v>60</v>
      </c>
      <c r="J59" s="10" t="s">
        <v>373</v>
      </c>
      <c r="K59" s="10" t="s">
        <v>374</v>
      </c>
      <c r="L59" s="10" t="s">
        <v>47</v>
      </c>
      <c r="M59" s="10" t="s">
        <v>375</v>
      </c>
      <c r="N59" s="10" t="s">
        <v>49</v>
      </c>
      <c r="O59" s="10" t="s">
        <v>376</v>
      </c>
      <c r="P59" s="10" t="s">
        <v>377</v>
      </c>
    </row>
    <row r="60" ht="51" customHeight="1">
      <c r="A60" s="10" t="s">
        <v>378</v>
      </c>
      <c r="B60" s="10" t="s">
        <v>379</v>
      </c>
      <c r="C60" s="10" t="s">
        <v>114</v>
      </c>
      <c r="D60" s="10" t="s">
        <v>55</v>
      </c>
      <c r="E60" s="11" t="s">
        <v>380</v>
      </c>
      <c r="F60" s="10" t="s">
        <v>381</v>
      </c>
      <c r="G60" s="10" t="s">
        <v>42</v>
      </c>
      <c r="H60" s="10" t="s">
        <v>59</v>
      </c>
      <c r="I60" s="10" t="s">
        <v>44</v>
      </c>
      <c r="J60" s="10" t="s">
        <v>382</v>
      </c>
      <c r="K60" s="10" t="s">
        <v>383</v>
      </c>
      <c r="L60" s="10" t="s">
        <v>132</v>
      </c>
      <c r="M60" s="10" t="s">
        <v>375</v>
      </c>
      <c r="N60" s="10" t="s">
        <v>49</v>
      </c>
      <c r="O60" s="10" t="s">
        <v>118</v>
      </c>
      <c r="P60" s="10" t="s">
        <v>384</v>
      </c>
    </row>
    <row r="61" ht="51" customHeight="1">
      <c r="A61" s="10" t="s">
        <v>385</v>
      </c>
      <c r="B61" s="10" t="s">
        <v>386</v>
      </c>
      <c r="C61" s="10" t="s">
        <v>114</v>
      </c>
      <c r="D61" s="10" t="s">
        <v>55</v>
      </c>
      <c r="E61" s="10" t="s">
        <v>387</v>
      </c>
      <c r="F61" s="10" t="s">
        <v>381</v>
      </c>
      <c r="G61" s="10" t="s">
        <v>42</v>
      </c>
      <c r="H61" s="10" t="s">
        <v>59</v>
      </c>
      <c r="I61" s="10" t="s">
        <v>44</v>
      </c>
      <c r="J61" s="10" t="s">
        <v>388</v>
      </c>
      <c r="K61" s="10" t="s">
        <v>389</v>
      </c>
      <c r="L61" s="10" t="s">
        <v>84</v>
      </c>
      <c r="M61" s="10" t="s">
        <v>375</v>
      </c>
      <c r="N61" s="10" t="s">
        <v>49</v>
      </c>
      <c r="O61" s="10" t="s">
        <v>118</v>
      </c>
      <c r="P61" s="10" t="s">
        <v>390</v>
      </c>
    </row>
    <row r="62" ht="38.25" customHeight="1">
      <c r="A62" s="10" t="s">
        <v>391</v>
      </c>
      <c r="B62" s="10" t="s">
        <v>392</v>
      </c>
      <c r="C62" s="10" t="s">
        <v>393</v>
      </c>
      <c r="D62" s="10" t="s">
        <v>55</v>
      </c>
      <c r="E62" s="10" t="s">
        <v>394</v>
      </c>
      <c r="F62" s="10" t="s">
        <v>381</v>
      </c>
      <c r="G62" s="10" t="s">
        <v>42</v>
      </c>
      <c r="H62" s="10" t="s">
        <v>59</v>
      </c>
      <c r="I62" s="10" t="s">
        <v>44</v>
      </c>
      <c r="J62" s="10" t="s">
        <v>395</v>
      </c>
      <c r="K62" s="10" t="s">
        <v>396</v>
      </c>
      <c r="L62" s="10" t="s">
        <v>63</v>
      </c>
      <c r="M62" s="10" t="s">
        <v>375</v>
      </c>
      <c r="N62" s="10" t="s">
        <v>49</v>
      </c>
      <c r="O62" s="10" t="s">
        <v>118</v>
      </c>
      <c r="P62" s="10" t="s">
        <v>397</v>
      </c>
    </row>
    <row r="63" ht="51" customHeight="1">
      <c r="A63" s="10" t="s">
        <v>398</v>
      </c>
      <c r="B63" s="10" t="s">
        <v>399</v>
      </c>
      <c r="C63" s="10" t="s">
        <v>400</v>
      </c>
      <c r="D63" s="10" t="s">
        <v>55</v>
      </c>
      <c r="E63" s="10" t="s">
        <v>401</v>
      </c>
      <c r="F63" s="10" t="s">
        <v>402</v>
      </c>
      <c r="G63" s="10" t="s">
        <v>42</v>
      </c>
      <c r="H63" s="10" t="s">
        <v>59</v>
      </c>
      <c r="I63" s="10" t="s">
        <v>44</v>
      </c>
      <c r="J63" s="10" t="s">
        <v>351</v>
      </c>
      <c r="K63" s="10" t="s">
        <v>403</v>
      </c>
      <c r="L63" s="10" t="s">
        <v>63</v>
      </c>
      <c r="M63" s="10" t="s">
        <v>375</v>
      </c>
      <c r="N63" s="10" t="s">
        <v>49</v>
      </c>
      <c r="O63" s="10" t="s">
        <v>78</v>
      </c>
      <c r="P63" s="10" t="s">
        <v>404</v>
      </c>
    </row>
    <row r="64" ht="51" customHeight="1">
      <c r="A64" s="10" t="s">
        <v>405</v>
      </c>
      <c r="B64" s="10" t="s">
        <v>406</v>
      </c>
      <c r="C64" s="10" t="s">
        <v>407</v>
      </c>
      <c r="D64" s="10" t="s">
        <v>408</v>
      </c>
      <c r="E64" s="10" t="s">
        <v>409</v>
      </c>
      <c r="F64" s="10" t="s">
        <v>402</v>
      </c>
      <c r="G64" s="10" t="s">
        <v>42</v>
      </c>
      <c r="H64" s="10" t="s">
        <v>410</v>
      </c>
      <c r="I64" s="10" t="s">
        <v>44</v>
      </c>
      <c r="J64" s="10" t="s">
        <v>411</v>
      </c>
      <c r="K64" s="10" t="s">
        <v>403</v>
      </c>
      <c r="L64" s="10" t="s">
        <v>132</v>
      </c>
      <c r="M64" s="10" t="s">
        <v>375</v>
      </c>
      <c r="N64" s="10" t="s">
        <v>49</v>
      </c>
      <c r="O64" s="10" t="s">
        <v>412</v>
      </c>
      <c r="P64" s="10" t="s">
        <v>413</v>
      </c>
    </row>
    <row r="65">
      <c r="A65" s="10" t="s">
        <v>414</v>
      </c>
      <c r="B65" s="10" t="s">
        <v>415</v>
      </c>
      <c r="C65" s="10" t="s">
        <v>416</v>
      </c>
      <c r="D65" s="10" t="s">
        <v>408</v>
      </c>
      <c r="E65" s="10" t="s">
        <v>417</v>
      </c>
      <c r="F65" s="10" t="s">
        <v>402</v>
      </c>
      <c r="G65" s="10" t="s">
        <v>42</v>
      </c>
      <c r="H65" s="10" t="s">
        <v>418</v>
      </c>
      <c r="I65" s="10" t="s">
        <v>44</v>
      </c>
      <c r="J65" s="10" t="s">
        <v>411</v>
      </c>
      <c r="K65" s="10" t="s">
        <v>403</v>
      </c>
      <c r="L65" s="10" t="s">
        <v>63</v>
      </c>
      <c r="M65" s="10" t="s">
        <v>375</v>
      </c>
      <c r="N65" s="10" t="s">
        <v>49</v>
      </c>
      <c r="O65" s="10" t="s">
        <v>419</v>
      </c>
      <c r="P65" s="10" t="s">
        <v>420</v>
      </c>
    </row>
    <row r="66">
      <c r="A66" s="10" t="s">
        <v>421</v>
      </c>
      <c r="B66" s="10" t="s">
        <v>422</v>
      </c>
      <c r="C66" s="10" t="s">
        <v>423</v>
      </c>
      <c r="D66" s="10" t="s">
        <v>39</v>
      </c>
      <c r="E66" s="10" t="s">
        <v>424</v>
      </c>
      <c r="F66" s="10" t="s">
        <v>402</v>
      </c>
      <c r="G66" s="10" t="s">
        <v>42</v>
      </c>
      <c r="H66" s="10" t="s">
        <v>425</v>
      </c>
      <c r="I66" s="10" t="s">
        <v>44</v>
      </c>
      <c r="J66" s="10" t="s">
        <v>411</v>
      </c>
      <c r="K66" s="10" t="s">
        <v>403</v>
      </c>
      <c r="L66" s="10" t="s">
        <v>132</v>
      </c>
      <c r="M66" s="10" t="s">
        <v>375</v>
      </c>
      <c r="N66" s="10" t="s">
        <v>49</v>
      </c>
      <c r="O66" s="10" t="s">
        <v>426</v>
      </c>
      <c r="P66" s="10" t="s">
        <v>427</v>
      </c>
    </row>
    <row r="67">
      <c r="A67" s="10" t="s">
        <v>428</v>
      </c>
      <c r="B67" s="10" t="s">
        <v>429</v>
      </c>
      <c r="C67" s="10" t="s">
        <v>430</v>
      </c>
      <c r="D67" s="10" t="s">
        <v>55</v>
      </c>
      <c r="E67" s="10" t="s">
        <v>431</v>
      </c>
      <c r="F67" s="10" t="s">
        <v>381</v>
      </c>
      <c r="G67" s="10" t="s">
        <v>42</v>
      </c>
      <c r="H67" s="10" t="s">
        <v>59</v>
      </c>
      <c r="I67" s="10" t="s">
        <v>44</v>
      </c>
      <c r="J67" s="10" t="s">
        <v>432</v>
      </c>
      <c r="K67" s="10" t="s">
        <v>433</v>
      </c>
      <c r="L67" s="10" t="s">
        <v>132</v>
      </c>
      <c r="M67" s="10" t="s">
        <v>64</v>
      </c>
      <c r="N67" s="10" t="s">
        <v>49</v>
      </c>
      <c r="O67" s="10" t="s">
        <v>118</v>
      </c>
      <c r="P67" s="10" t="s">
        <v>434</v>
      </c>
    </row>
    <row r="68">
      <c r="A68" s="10" t="s">
        <v>435</v>
      </c>
      <c r="B68" s="10" t="s">
        <v>436</v>
      </c>
      <c r="C68" s="10" t="s">
        <v>437</v>
      </c>
      <c r="D68" s="10" t="s">
        <v>55</v>
      </c>
      <c r="E68" s="10" t="s">
        <v>387</v>
      </c>
      <c r="F68" s="10" t="s">
        <v>381</v>
      </c>
      <c r="G68" s="10" t="s">
        <v>42</v>
      </c>
      <c r="H68" s="10" t="s">
        <v>59</v>
      </c>
      <c r="I68" s="10" t="s">
        <v>44</v>
      </c>
      <c r="J68" s="10" t="s">
        <v>438</v>
      </c>
      <c r="K68" s="10" t="s">
        <v>389</v>
      </c>
      <c r="L68" s="10" t="s">
        <v>84</v>
      </c>
      <c r="M68" s="10" t="s">
        <v>64</v>
      </c>
      <c r="N68" s="10" t="s">
        <v>49</v>
      </c>
      <c r="O68" s="10" t="s">
        <v>118</v>
      </c>
      <c r="P68" s="10" t="s">
        <v>439</v>
      </c>
    </row>
    <row r="69">
      <c r="A69" s="10" t="s">
        <v>440</v>
      </c>
      <c r="B69" s="10" t="s">
        <v>441</v>
      </c>
      <c r="C69" s="10" t="s">
        <v>442</v>
      </c>
      <c r="D69" s="10" t="s">
        <v>55</v>
      </c>
      <c r="E69" s="10" t="s">
        <v>443</v>
      </c>
      <c r="F69" s="10" t="s">
        <v>175</v>
      </c>
      <c r="G69" s="10" t="s">
        <v>58</v>
      </c>
      <c r="H69" s="10" t="s">
        <v>59</v>
      </c>
      <c r="I69" s="10" t="s">
        <v>60</v>
      </c>
      <c r="J69" s="10" t="s">
        <v>444</v>
      </c>
      <c r="K69" s="10" t="s">
        <v>445</v>
      </c>
      <c r="L69" s="10" t="s">
        <v>63</v>
      </c>
      <c r="M69" s="10" t="s">
        <v>64</v>
      </c>
      <c r="N69" s="10" t="s">
        <v>49</v>
      </c>
      <c r="O69" s="10" t="s">
        <v>178</v>
      </c>
      <c r="P69" s="10" t="s">
        <v>446</v>
      </c>
    </row>
    <row r="70">
      <c r="A70" s="10" t="s">
        <v>447</v>
      </c>
      <c r="B70" s="10" t="s">
        <v>448</v>
      </c>
      <c r="C70" s="10" t="s">
        <v>442</v>
      </c>
      <c r="D70" s="10" t="s">
        <v>55</v>
      </c>
      <c r="E70" s="10" t="s">
        <v>449</v>
      </c>
      <c r="F70" s="10" t="s">
        <v>175</v>
      </c>
      <c r="G70" s="10" t="s">
        <v>58</v>
      </c>
      <c r="H70" s="10" t="s">
        <v>59</v>
      </c>
      <c r="I70" s="10" t="s">
        <v>44</v>
      </c>
      <c r="J70" s="10" t="s">
        <v>450</v>
      </c>
      <c r="K70" s="10" t="s">
        <v>451</v>
      </c>
      <c r="L70" s="10" t="s">
        <v>63</v>
      </c>
      <c r="M70" s="10" t="s">
        <v>64</v>
      </c>
      <c r="N70" s="10" t="s">
        <v>49</v>
      </c>
      <c r="O70" s="10" t="s">
        <v>178</v>
      </c>
      <c r="P70" s="10" t="s">
        <v>452</v>
      </c>
    </row>
    <row r="71">
      <c r="A71" s="10" t="s">
        <v>453</v>
      </c>
      <c r="B71" s="10" t="s">
        <v>454</v>
      </c>
      <c r="C71" s="10" t="s">
        <v>393</v>
      </c>
      <c r="D71" s="10" t="s">
        <v>55</v>
      </c>
      <c r="E71" s="10" t="s">
        <v>455</v>
      </c>
      <c r="F71" s="10" t="s">
        <v>381</v>
      </c>
      <c r="G71" s="10" t="s">
        <v>42</v>
      </c>
      <c r="H71" s="10" t="s">
        <v>59</v>
      </c>
      <c r="I71" s="10" t="s">
        <v>44</v>
      </c>
      <c r="J71" s="10" t="s">
        <v>351</v>
      </c>
      <c r="K71" s="10" t="s">
        <v>396</v>
      </c>
      <c r="L71" s="10" t="s">
        <v>63</v>
      </c>
      <c r="M71" s="10" t="s">
        <v>64</v>
      </c>
      <c r="N71" s="10" t="s">
        <v>49</v>
      </c>
      <c r="O71" s="10" t="s">
        <v>118</v>
      </c>
      <c r="P71" s="10" t="s">
        <v>456</v>
      </c>
    </row>
    <row r="72">
      <c r="A72" s="10" t="s">
        <v>457</v>
      </c>
      <c r="B72" s="10" t="s">
        <v>458</v>
      </c>
      <c r="C72" s="10" t="s">
        <v>459</v>
      </c>
      <c r="D72" s="10" t="s">
        <v>55</v>
      </c>
      <c r="E72" s="10" t="s">
        <v>460</v>
      </c>
      <c r="F72" s="10" t="s">
        <v>41</v>
      </c>
      <c r="G72" s="10" t="s">
        <v>42</v>
      </c>
      <c r="H72" s="10" t="s">
        <v>59</v>
      </c>
      <c r="I72" s="10" t="s">
        <v>44</v>
      </c>
      <c r="J72" s="10" t="s">
        <v>461</v>
      </c>
      <c r="K72" s="10" t="s">
        <v>433</v>
      </c>
      <c r="L72" s="10" t="s">
        <v>132</v>
      </c>
      <c r="M72" s="10" t="s">
        <v>64</v>
      </c>
      <c r="N72" s="10" t="s">
        <v>49</v>
      </c>
      <c r="O72" s="10" t="s">
        <v>376</v>
      </c>
      <c r="P72" s="10" t="s">
        <v>462</v>
      </c>
    </row>
    <row r="73">
      <c r="A73" s="10" t="s">
        <v>463</v>
      </c>
      <c r="B73" s="10" t="s">
        <v>464</v>
      </c>
      <c r="C73" s="10" t="s">
        <v>393</v>
      </c>
      <c r="D73" s="10" t="s">
        <v>55</v>
      </c>
      <c r="E73" s="10" t="s">
        <v>465</v>
      </c>
      <c r="F73" s="10" t="s">
        <v>381</v>
      </c>
      <c r="G73" s="10" t="s">
        <v>42</v>
      </c>
      <c r="H73" s="10" t="s">
        <v>59</v>
      </c>
      <c r="I73" s="10" t="s">
        <v>44</v>
      </c>
      <c r="J73" s="10" t="s">
        <v>432</v>
      </c>
      <c r="K73" s="10" t="s">
        <v>433</v>
      </c>
      <c r="L73" s="10" t="s">
        <v>132</v>
      </c>
      <c r="M73" s="10" t="s">
        <v>64</v>
      </c>
      <c r="N73" s="10" t="s">
        <v>49</v>
      </c>
      <c r="O73" s="10" t="s">
        <v>118</v>
      </c>
      <c r="P73" s="10" t="s">
        <v>466</v>
      </c>
    </row>
    <row r="74">
      <c r="A74" s="10" t="s">
        <v>467</v>
      </c>
      <c r="B74" s="10" t="s">
        <v>468</v>
      </c>
      <c r="C74" s="10" t="s">
        <v>469</v>
      </c>
      <c r="D74" s="10" t="s">
        <v>55</v>
      </c>
      <c r="E74" s="10" t="s">
        <v>470</v>
      </c>
      <c r="F74" s="10" t="s">
        <v>381</v>
      </c>
      <c r="G74" s="10" t="s">
        <v>42</v>
      </c>
      <c r="H74" s="10" t="s">
        <v>59</v>
      </c>
      <c r="I74" s="10" t="s">
        <v>44</v>
      </c>
      <c r="J74" s="10" t="s">
        <v>351</v>
      </c>
      <c r="K74" s="10" t="s">
        <v>471</v>
      </c>
      <c r="L74" s="10" t="s">
        <v>132</v>
      </c>
      <c r="M74" s="10" t="s">
        <v>472</v>
      </c>
      <c r="N74" s="10" t="s">
        <v>49</v>
      </c>
      <c r="O74" s="10" t="s">
        <v>78</v>
      </c>
      <c r="P74" s="10" t="s">
        <v>473</v>
      </c>
    </row>
    <row r="75">
      <c r="A75" s="10" t="s">
        <v>474</v>
      </c>
      <c r="B75" s="10" t="s">
        <v>475</v>
      </c>
      <c r="C75" s="10" t="s">
        <v>75</v>
      </c>
      <c r="D75" s="10" t="s">
        <v>55</v>
      </c>
      <c r="E75" s="10" t="s">
        <v>476</v>
      </c>
      <c r="F75" s="10" t="s">
        <v>381</v>
      </c>
      <c r="G75" s="10" t="s">
        <v>42</v>
      </c>
      <c r="H75" s="10" t="s">
        <v>59</v>
      </c>
      <c r="I75" s="10" t="s">
        <v>44</v>
      </c>
      <c r="J75" s="10" t="s">
        <v>395</v>
      </c>
      <c r="K75" s="10" t="s">
        <v>477</v>
      </c>
      <c r="L75" s="10" t="s">
        <v>63</v>
      </c>
      <c r="M75" s="10" t="s">
        <v>472</v>
      </c>
      <c r="N75" s="10" t="s">
        <v>49</v>
      </c>
      <c r="O75" s="10" t="s">
        <v>78</v>
      </c>
      <c r="P75" s="10" t="s">
        <v>478</v>
      </c>
    </row>
    <row r="76">
      <c r="A76" s="10" t="s">
        <v>479</v>
      </c>
      <c r="B76" s="10" t="s">
        <v>480</v>
      </c>
      <c r="C76" s="10" t="s">
        <v>75</v>
      </c>
      <c r="D76" s="10" t="s">
        <v>55</v>
      </c>
      <c r="E76" s="10" t="s">
        <v>481</v>
      </c>
      <c r="F76" s="10" t="s">
        <v>381</v>
      </c>
      <c r="G76" s="10" t="s">
        <v>42</v>
      </c>
      <c r="H76" s="10" t="s">
        <v>59</v>
      </c>
      <c r="I76" s="10" t="s">
        <v>44</v>
      </c>
      <c r="J76" s="10" t="s">
        <v>395</v>
      </c>
      <c r="K76" s="10" t="s">
        <v>477</v>
      </c>
      <c r="L76" s="10" t="s">
        <v>63</v>
      </c>
      <c r="M76" s="10" t="s">
        <v>472</v>
      </c>
      <c r="N76" s="10" t="s">
        <v>49</v>
      </c>
      <c r="O76" s="10" t="s">
        <v>78</v>
      </c>
      <c r="P76" s="10" t="s">
        <v>478</v>
      </c>
    </row>
    <row r="77">
      <c r="A77" s="10" t="s">
        <v>482</v>
      </c>
      <c r="B77" s="10" t="s">
        <v>483</v>
      </c>
      <c r="C77" s="10" t="s">
        <v>75</v>
      </c>
      <c r="D77" s="10" t="s">
        <v>55</v>
      </c>
      <c r="E77" s="10" t="s">
        <v>484</v>
      </c>
      <c r="F77" s="10" t="s">
        <v>41</v>
      </c>
      <c r="G77" s="10" t="s">
        <v>42</v>
      </c>
      <c r="H77" s="10" t="s">
        <v>59</v>
      </c>
      <c r="I77" s="10" t="s">
        <v>44</v>
      </c>
      <c r="J77" s="10" t="s">
        <v>351</v>
      </c>
      <c r="K77" s="10" t="s">
        <v>485</v>
      </c>
      <c r="L77" s="10" t="s">
        <v>132</v>
      </c>
      <c r="M77" s="10" t="s">
        <v>472</v>
      </c>
      <c r="N77" s="10" t="s">
        <v>49</v>
      </c>
      <c r="O77" s="10" t="s">
        <v>78</v>
      </c>
      <c r="P77" s="10" t="s">
        <v>486</v>
      </c>
    </row>
    <row r="78">
      <c r="A78" s="10" t="s">
        <v>487</v>
      </c>
      <c r="B78" s="10" t="s">
        <v>488</v>
      </c>
      <c r="C78" s="10" t="s">
        <v>489</v>
      </c>
      <c r="D78" s="10" t="s">
        <v>55</v>
      </c>
      <c r="E78" s="10" t="s">
        <v>490</v>
      </c>
      <c r="F78" s="10" t="s">
        <v>381</v>
      </c>
      <c r="G78" s="10" t="s">
        <v>42</v>
      </c>
      <c r="H78" s="10" t="s">
        <v>59</v>
      </c>
      <c r="I78" s="10" t="s">
        <v>44</v>
      </c>
      <c r="J78" s="10" t="s">
        <v>351</v>
      </c>
      <c r="K78" s="10" t="s">
        <v>491</v>
      </c>
      <c r="L78" s="10" t="s">
        <v>63</v>
      </c>
      <c r="M78" s="10" t="s">
        <v>472</v>
      </c>
      <c r="N78" s="10" t="s">
        <v>49</v>
      </c>
      <c r="O78" s="10" t="s">
        <v>78</v>
      </c>
      <c r="P78" s="10" t="s">
        <v>492</v>
      </c>
    </row>
    <row r="79">
      <c r="A79" s="10" t="s">
        <v>493</v>
      </c>
      <c r="B79" s="10" t="s">
        <v>494</v>
      </c>
      <c r="C79" s="10" t="s">
        <v>489</v>
      </c>
      <c r="D79" s="10" t="s">
        <v>55</v>
      </c>
      <c r="E79" s="10" t="s">
        <v>495</v>
      </c>
      <c r="F79" s="10" t="s">
        <v>381</v>
      </c>
      <c r="G79" s="10" t="s">
        <v>42</v>
      </c>
      <c r="H79" s="10" t="s">
        <v>59</v>
      </c>
      <c r="I79" s="10" t="s">
        <v>44</v>
      </c>
      <c r="J79" s="10" t="s">
        <v>351</v>
      </c>
      <c r="K79" s="10" t="s">
        <v>433</v>
      </c>
      <c r="L79" s="10" t="s">
        <v>132</v>
      </c>
      <c r="M79" s="10" t="s">
        <v>472</v>
      </c>
      <c r="N79" s="10" t="s">
        <v>49</v>
      </c>
      <c r="O79" s="10" t="s">
        <v>78</v>
      </c>
      <c r="P79" s="10" t="s">
        <v>496</v>
      </c>
    </row>
    <row r="80">
      <c r="A80" s="10" t="s">
        <v>497</v>
      </c>
      <c r="B80" s="10" t="s">
        <v>498</v>
      </c>
      <c r="C80" s="10" t="s">
        <v>499</v>
      </c>
      <c r="D80" s="10" t="s">
        <v>55</v>
      </c>
      <c r="E80" s="10" t="s">
        <v>500</v>
      </c>
      <c r="F80" s="10" t="s">
        <v>381</v>
      </c>
      <c r="G80" s="10" t="s">
        <v>42</v>
      </c>
      <c r="H80" s="10" t="s">
        <v>59</v>
      </c>
      <c r="I80" s="10" t="s">
        <v>44</v>
      </c>
      <c r="J80" s="10" t="s">
        <v>351</v>
      </c>
      <c r="K80" s="10" t="s">
        <v>501</v>
      </c>
      <c r="L80" s="10" t="s">
        <v>84</v>
      </c>
      <c r="M80" s="10" t="s">
        <v>472</v>
      </c>
      <c r="N80" s="10" t="s">
        <v>49</v>
      </c>
      <c r="O80" s="10" t="s">
        <v>78</v>
      </c>
      <c r="P80" s="10" t="s">
        <v>502</v>
      </c>
    </row>
    <row r="81">
      <c r="A81" s="10" t="s">
        <v>503</v>
      </c>
      <c r="B81" s="10" t="s">
        <v>504</v>
      </c>
      <c r="C81" s="10" t="s">
        <v>505</v>
      </c>
      <c r="D81" s="10" t="s">
        <v>55</v>
      </c>
      <c r="E81" s="10" t="s">
        <v>506</v>
      </c>
      <c r="F81" s="10" t="s">
        <v>381</v>
      </c>
      <c r="G81" s="10" t="s">
        <v>42</v>
      </c>
      <c r="H81" s="10" t="s">
        <v>59</v>
      </c>
      <c r="I81" s="10" t="s">
        <v>44</v>
      </c>
      <c r="J81" s="10" t="s">
        <v>351</v>
      </c>
      <c r="K81" s="10" t="s">
        <v>507</v>
      </c>
      <c r="L81" s="10" t="s">
        <v>63</v>
      </c>
      <c r="M81" s="10" t="s">
        <v>472</v>
      </c>
      <c r="N81" s="10" t="s">
        <v>49</v>
      </c>
      <c r="O81" s="10" t="s">
        <v>118</v>
      </c>
      <c r="P81" s="10" t="s">
        <v>478</v>
      </c>
    </row>
    <row r="82">
      <c r="A82" s="10" t="s">
        <v>508</v>
      </c>
      <c r="B82" s="10" t="s">
        <v>509</v>
      </c>
      <c r="C82" s="10" t="s">
        <v>510</v>
      </c>
      <c r="D82" s="10" t="s">
        <v>55</v>
      </c>
      <c r="E82" s="10" t="s">
        <v>511</v>
      </c>
      <c r="F82" s="10" t="s">
        <v>381</v>
      </c>
      <c r="G82" s="10" t="s">
        <v>42</v>
      </c>
      <c r="H82" s="10" t="s">
        <v>59</v>
      </c>
      <c r="I82" s="10" t="s">
        <v>44</v>
      </c>
      <c r="J82" s="10" t="s">
        <v>395</v>
      </c>
      <c r="K82" s="10" t="s">
        <v>512</v>
      </c>
      <c r="L82" s="10" t="s">
        <v>63</v>
      </c>
      <c r="M82" s="10" t="s">
        <v>472</v>
      </c>
      <c r="N82" s="10" t="s">
        <v>49</v>
      </c>
      <c r="O82" s="10" t="s">
        <v>78</v>
      </c>
      <c r="P82" s="10" t="s">
        <v>513</v>
      </c>
    </row>
    <row r="83">
      <c r="A83" s="10" t="s">
        <v>514</v>
      </c>
      <c r="B83" s="10" t="s">
        <v>515</v>
      </c>
      <c r="C83" s="10" t="s">
        <v>75</v>
      </c>
      <c r="D83" s="10" t="s">
        <v>55</v>
      </c>
      <c r="E83" s="10" t="s">
        <v>516</v>
      </c>
      <c r="F83" s="10" t="s">
        <v>381</v>
      </c>
      <c r="G83" s="10" t="s">
        <v>42</v>
      </c>
      <c r="H83" s="10" t="s">
        <v>59</v>
      </c>
      <c r="I83" s="10" t="s">
        <v>44</v>
      </c>
      <c r="J83" s="10" t="s">
        <v>395</v>
      </c>
      <c r="K83" s="10" t="s">
        <v>517</v>
      </c>
      <c r="L83" s="10" t="s">
        <v>63</v>
      </c>
      <c r="M83" s="10" t="s">
        <v>472</v>
      </c>
      <c r="N83" s="10" t="s">
        <v>49</v>
      </c>
      <c r="O83" s="10" t="s">
        <v>78</v>
      </c>
      <c r="P83" s="10" t="s">
        <v>518</v>
      </c>
    </row>
    <row r="84">
      <c r="A84" s="10" t="s">
        <v>519</v>
      </c>
      <c r="B84" s="10" t="s">
        <v>520</v>
      </c>
      <c r="C84" s="10" t="s">
        <v>521</v>
      </c>
      <c r="D84" s="10" t="s">
        <v>55</v>
      </c>
      <c r="E84" s="10" t="s">
        <v>522</v>
      </c>
      <c r="F84" s="10" t="s">
        <v>41</v>
      </c>
      <c r="G84" s="10" t="s">
        <v>42</v>
      </c>
      <c r="H84" s="10" t="s">
        <v>59</v>
      </c>
      <c r="I84" s="10" t="s">
        <v>44</v>
      </c>
      <c r="J84" s="10" t="s">
        <v>523</v>
      </c>
      <c r="K84" s="10" t="s">
        <v>524</v>
      </c>
      <c r="L84" s="10" t="s">
        <v>247</v>
      </c>
      <c r="M84" s="10" t="s">
        <v>375</v>
      </c>
      <c r="N84" s="10" t="s">
        <v>49</v>
      </c>
      <c r="O84" s="10" t="s">
        <v>525</v>
      </c>
      <c r="P84" s="10" t="s">
        <v>526</v>
      </c>
    </row>
    <row r="85">
      <c r="A85" s="10" t="s">
        <v>527</v>
      </c>
      <c r="B85" s="10" t="s">
        <v>528</v>
      </c>
      <c r="C85" s="10" t="s">
        <v>521</v>
      </c>
      <c r="D85" s="10" t="s">
        <v>55</v>
      </c>
      <c r="E85" s="10" t="s">
        <v>529</v>
      </c>
      <c r="F85" s="10" t="s">
        <v>41</v>
      </c>
      <c r="G85" s="10" t="s">
        <v>42</v>
      </c>
      <c r="H85" s="10" t="s">
        <v>59</v>
      </c>
      <c r="I85" s="10" t="s">
        <v>44</v>
      </c>
      <c r="J85" s="10" t="s">
        <v>530</v>
      </c>
      <c r="K85" s="10" t="s">
        <v>524</v>
      </c>
      <c r="L85" s="10" t="s">
        <v>247</v>
      </c>
      <c r="M85" s="10" t="s">
        <v>375</v>
      </c>
      <c r="N85" s="10" t="s">
        <v>49</v>
      </c>
      <c r="O85" s="10" t="s">
        <v>525</v>
      </c>
      <c r="P85" s="10" t="s">
        <v>531</v>
      </c>
    </row>
    <row r="86">
      <c r="A86" s="10" t="s">
        <v>532</v>
      </c>
      <c r="B86" s="10" t="s">
        <v>533</v>
      </c>
      <c r="C86" s="10" t="s">
        <v>521</v>
      </c>
      <c r="D86" s="10" t="s">
        <v>55</v>
      </c>
      <c r="E86" s="10" t="s">
        <v>534</v>
      </c>
      <c r="F86" s="10" t="s">
        <v>41</v>
      </c>
      <c r="G86" s="10" t="s">
        <v>42</v>
      </c>
      <c r="H86" s="10" t="s">
        <v>59</v>
      </c>
      <c r="I86" s="10" t="s">
        <v>44</v>
      </c>
      <c r="J86" s="10" t="s">
        <v>523</v>
      </c>
      <c r="K86" s="10" t="s">
        <v>524</v>
      </c>
      <c r="L86" s="10" t="s">
        <v>247</v>
      </c>
      <c r="M86" s="10" t="s">
        <v>375</v>
      </c>
      <c r="N86" s="10" t="s">
        <v>49</v>
      </c>
      <c r="O86" s="10" t="s">
        <v>525</v>
      </c>
      <c r="P86" s="10" t="s">
        <v>535</v>
      </c>
    </row>
    <row r="87">
      <c r="A87" s="10" t="s">
        <v>536</v>
      </c>
      <c r="B87" s="10" t="s">
        <v>537</v>
      </c>
      <c r="C87" s="10" t="s">
        <v>521</v>
      </c>
      <c r="D87" s="10" t="s">
        <v>55</v>
      </c>
      <c r="E87" s="10" t="s">
        <v>538</v>
      </c>
      <c r="F87" s="10" t="s">
        <v>41</v>
      </c>
      <c r="G87" s="10" t="s">
        <v>42</v>
      </c>
      <c r="H87" s="10" t="s">
        <v>59</v>
      </c>
      <c r="I87" s="10" t="s">
        <v>44</v>
      </c>
      <c r="J87" s="10" t="s">
        <v>523</v>
      </c>
      <c r="K87" s="10" t="s">
        <v>524</v>
      </c>
      <c r="L87" s="10" t="s">
        <v>247</v>
      </c>
      <c r="M87" s="10" t="s">
        <v>375</v>
      </c>
      <c r="N87" s="10" t="s">
        <v>49</v>
      </c>
      <c r="O87" s="10" t="s">
        <v>525</v>
      </c>
      <c r="P87" s="10" t="s">
        <v>539</v>
      </c>
    </row>
    <row r="88">
      <c r="A88" s="10" t="s">
        <v>540</v>
      </c>
      <c r="B88" s="10" t="s">
        <v>541</v>
      </c>
      <c r="C88" s="10" t="s">
        <v>521</v>
      </c>
      <c r="D88" s="10" t="s">
        <v>55</v>
      </c>
      <c r="E88" s="10" t="s">
        <v>542</v>
      </c>
      <c r="F88" s="10" t="s">
        <v>41</v>
      </c>
      <c r="G88" s="10" t="s">
        <v>42</v>
      </c>
      <c r="H88" s="10" t="s">
        <v>59</v>
      </c>
      <c r="I88" s="10" t="s">
        <v>44</v>
      </c>
      <c r="J88" s="10" t="s">
        <v>523</v>
      </c>
      <c r="K88" s="10" t="s">
        <v>524</v>
      </c>
      <c r="L88" s="10" t="s">
        <v>247</v>
      </c>
      <c r="M88" s="10" t="s">
        <v>375</v>
      </c>
      <c r="N88" s="10" t="s">
        <v>49</v>
      </c>
      <c r="O88" s="10" t="s">
        <v>525</v>
      </c>
      <c r="P88" s="10" t="s">
        <v>543</v>
      </c>
    </row>
    <row r="89">
      <c r="A89" s="10" t="s">
        <v>544</v>
      </c>
      <c r="B89" s="10" t="s">
        <v>545</v>
      </c>
      <c r="C89" s="10" t="s">
        <v>521</v>
      </c>
      <c r="D89" s="10" t="s">
        <v>55</v>
      </c>
      <c r="E89" s="10" t="s">
        <v>546</v>
      </c>
      <c r="F89" s="10" t="s">
        <v>41</v>
      </c>
      <c r="G89" s="10" t="s">
        <v>42</v>
      </c>
      <c r="H89" s="10" t="s">
        <v>59</v>
      </c>
      <c r="I89" s="10" t="s">
        <v>44</v>
      </c>
      <c r="J89" s="10" t="s">
        <v>461</v>
      </c>
      <c r="K89" s="10" t="s">
        <v>403</v>
      </c>
      <c r="L89" s="10" t="s">
        <v>247</v>
      </c>
      <c r="M89" s="10" t="s">
        <v>375</v>
      </c>
      <c r="N89" s="10" t="s">
        <v>49</v>
      </c>
      <c r="O89" s="10" t="s">
        <v>525</v>
      </c>
      <c r="P89" s="10" t="s">
        <v>547</v>
      </c>
    </row>
    <row r="90">
      <c r="A90" s="10" t="s">
        <v>548</v>
      </c>
      <c r="B90" s="10" t="s">
        <v>549</v>
      </c>
      <c r="C90" s="10" t="s">
        <v>550</v>
      </c>
      <c r="D90" s="10" t="s">
        <v>55</v>
      </c>
      <c r="E90" s="10" t="s">
        <v>551</v>
      </c>
      <c r="F90" s="10" t="s">
        <v>381</v>
      </c>
      <c r="G90" s="10" t="s">
        <v>42</v>
      </c>
      <c r="H90" s="10" t="s">
        <v>552</v>
      </c>
      <c r="I90" s="10" t="s">
        <v>44</v>
      </c>
      <c r="J90" s="10" t="s">
        <v>553</v>
      </c>
      <c r="K90" s="10" t="s">
        <v>554</v>
      </c>
      <c r="L90" s="10" t="s">
        <v>247</v>
      </c>
      <c r="M90" s="10" t="s">
        <v>375</v>
      </c>
      <c r="N90" s="10" t="s">
        <v>49</v>
      </c>
      <c r="O90" s="10" t="s">
        <v>555</v>
      </c>
      <c r="P90" s="10" t="s">
        <v>556</v>
      </c>
    </row>
    <row r="91">
      <c r="A91" s="10" t="s">
        <v>557</v>
      </c>
      <c r="B91" s="10" t="s">
        <v>558</v>
      </c>
      <c r="C91" s="10" t="s">
        <v>393</v>
      </c>
      <c r="D91" s="10" t="s">
        <v>55</v>
      </c>
      <c r="E91" s="10" t="s">
        <v>559</v>
      </c>
      <c r="F91" s="10" t="s">
        <v>381</v>
      </c>
      <c r="G91" s="10" t="s">
        <v>42</v>
      </c>
      <c r="H91" s="10" t="s">
        <v>59</v>
      </c>
      <c r="I91" s="10" t="s">
        <v>44</v>
      </c>
      <c r="J91" s="10" t="s">
        <v>432</v>
      </c>
      <c r="K91" s="10" t="s">
        <v>560</v>
      </c>
      <c r="L91" s="10" t="s">
        <v>63</v>
      </c>
      <c r="M91" s="10" t="s">
        <v>375</v>
      </c>
      <c r="N91" s="10" t="s">
        <v>49</v>
      </c>
      <c r="O91" s="10" t="s">
        <v>118</v>
      </c>
      <c r="P91" s="10" t="s">
        <v>561</v>
      </c>
    </row>
    <row r="92">
      <c r="A92" s="10" t="s">
        <v>562</v>
      </c>
      <c r="B92" s="10" t="s">
        <v>563</v>
      </c>
      <c r="C92" s="10" t="s">
        <v>564</v>
      </c>
      <c r="D92" s="10" t="s">
        <v>55</v>
      </c>
      <c r="E92" s="10" t="s">
        <v>565</v>
      </c>
      <c r="F92" s="10" t="s">
        <v>402</v>
      </c>
      <c r="G92" s="10" t="s">
        <v>42</v>
      </c>
      <c r="H92" s="10" t="s">
        <v>566</v>
      </c>
      <c r="I92" s="10" t="s">
        <v>44</v>
      </c>
      <c r="J92" s="10" t="s">
        <v>411</v>
      </c>
      <c r="K92" s="10" t="s">
        <v>403</v>
      </c>
      <c r="L92" s="10" t="s">
        <v>282</v>
      </c>
      <c r="M92" s="10" t="s">
        <v>375</v>
      </c>
      <c r="N92" s="10" t="s">
        <v>49</v>
      </c>
      <c r="O92" s="10" t="s">
        <v>567</v>
      </c>
      <c r="P92" s="10" t="s">
        <v>568</v>
      </c>
    </row>
    <row r="93">
      <c r="A93" s="10" t="s">
        <v>569</v>
      </c>
      <c r="B93" s="10" t="s">
        <v>570</v>
      </c>
      <c r="C93" s="10" t="s">
        <v>571</v>
      </c>
      <c r="D93" s="10" t="s">
        <v>408</v>
      </c>
      <c r="E93" s="10" t="s">
        <v>572</v>
      </c>
      <c r="F93" s="10" t="s">
        <v>402</v>
      </c>
      <c r="G93" s="10" t="s">
        <v>42</v>
      </c>
      <c r="H93" s="10" t="s">
        <v>573</v>
      </c>
      <c r="I93" s="10" t="s">
        <v>44</v>
      </c>
      <c r="J93" s="10" t="s">
        <v>411</v>
      </c>
      <c r="K93" s="10" t="s">
        <v>403</v>
      </c>
      <c r="L93" s="10" t="s">
        <v>84</v>
      </c>
      <c r="M93" s="10" t="s">
        <v>375</v>
      </c>
      <c r="N93" s="10" t="s">
        <v>49</v>
      </c>
      <c r="O93" s="10" t="s">
        <v>574</v>
      </c>
      <c r="P93" s="10" t="s">
        <v>575</v>
      </c>
    </row>
    <row r="94">
      <c r="A94" s="10" t="s">
        <v>576</v>
      </c>
      <c r="B94" s="10" t="s">
        <v>577</v>
      </c>
      <c r="C94" s="10" t="s">
        <v>38</v>
      </c>
      <c r="D94" s="10" t="s">
        <v>39</v>
      </c>
      <c r="E94" s="10" t="s">
        <v>578</v>
      </c>
      <c r="F94" s="10" t="s">
        <v>41</v>
      </c>
      <c r="G94" s="10" t="s">
        <v>42</v>
      </c>
      <c r="H94" s="10" t="s">
        <v>43</v>
      </c>
      <c r="I94" s="10" t="s">
        <v>44</v>
      </c>
      <c r="J94" s="10" t="s">
        <v>579</v>
      </c>
      <c r="K94" s="10" t="s">
        <v>580</v>
      </c>
      <c r="L94" s="10" t="s">
        <v>47</v>
      </c>
      <c r="M94" s="10" t="s">
        <v>581</v>
      </c>
      <c r="N94" s="10" t="s">
        <v>49</v>
      </c>
      <c r="O94" s="10" t="s">
        <v>582</v>
      </c>
      <c r="P94" s="10" t="s">
        <v>583</v>
      </c>
    </row>
    <row r="95">
      <c r="A95" s="10" t="s">
        <v>584</v>
      </c>
      <c r="B95" s="10" t="s">
        <v>585</v>
      </c>
      <c r="C95" s="10" t="s">
        <v>586</v>
      </c>
      <c r="D95" s="10" t="s">
        <v>137</v>
      </c>
      <c r="E95" s="10" t="s">
        <v>587</v>
      </c>
      <c r="F95" s="10" t="s">
        <v>41</v>
      </c>
      <c r="G95" s="10" t="s">
        <v>42</v>
      </c>
      <c r="H95" s="10" t="s">
        <v>588</v>
      </c>
      <c r="I95" s="10" t="s">
        <v>44</v>
      </c>
      <c r="J95" s="10" t="s">
        <v>589</v>
      </c>
      <c r="K95" s="10" t="s">
        <v>590</v>
      </c>
      <c r="L95" s="10" t="s">
        <v>247</v>
      </c>
      <c r="M95" s="10" t="s">
        <v>581</v>
      </c>
      <c r="N95" s="10" t="s">
        <v>49</v>
      </c>
      <c r="O95" s="10" t="s">
        <v>591</v>
      </c>
      <c r="P95" s="10" t="s">
        <v>592</v>
      </c>
    </row>
    <row r="96">
      <c r="A96" s="10" t="s">
        <v>593</v>
      </c>
      <c r="B96" s="10" t="s">
        <v>594</v>
      </c>
      <c r="C96" s="10" t="s">
        <v>586</v>
      </c>
      <c r="D96" s="10" t="s">
        <v>137</v>
      </c>
      <c r="E96" s="10" t="s">
        <v>595</v>
      </c>
      <c r="F96" s="10" t="s">
        <v>41</v>
      </c>
      <c r="G96" s="10" t="s">
        <v>42</v>
      </c>
      <c r="H96" s="10" t="s">
        <v>596</v>
      </c>
      <c r="I96" s="10" t="s">
        <v>597</v>
      </c>
      <c r="J96" s="10" t="s">
        <v>589</v>
      </c>
      <c r="K96" s="10" t="s">
        <v>590</v>
      </c>
      <c r="L96" s="10" t="s">
        <v>247</v>
      </c>
      <c r="M96" s="10" t="s">
        <v>581</v>
      </c>
      <c r="N96" s="10" t="s">
        <v>49</v>
      </c>
      <c r="O96" s="10" t="s">
        <v>591</v>
      </c>
      <c r="P96" s="10" t="s">
        <v>598</v>
      </c>
    </row>
  </sheetData>
  <hyperlinks>
    <hyperlink r:id="rId1" ref="E5"/>
    <hyperlink r:id="rId2" ref="E60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3" topLeftCell="B4" activePane="bottomRight" state="frozen"/>
      <selection activeCell="A1" activeCellId="0" sqref="A1"/>
    </sheetView>
  </sheetViews>
  <sheetFormatPr baseColWidth="10" defaultColWidth="8.83203125" defaultRowHeight="15"/>
  <cols>
    <col customWidth="1" min="1" max="1" width="9"/>
    <col customWidth="1" min="2" max="2" width="20"/>
    <col customWidth="1" min="3" max="3" width="22"/>
    <col customWidth="1" min="4" max="4" width="20"/>
    <col customWidth="1" min="5" max="5" width="36"/>
    <col customWidth="1" min="6" max="6" width="12"/>
    <col customWidth="1" min="7" max="7" width="16"/>
    <col customWidth="1" min="8" max="8" width="14"/>
    <col customWidth="1" min="9" max="9" width="11"/>
    <col customWidth="1" min="10" max="10" width="22"/>
    <col customWidth="1" min="11" max="11" width="16"/>
    <col customWidth="1" min="12" max="12" width="28"/>
    <col customWidth="1" min="13" max="13" width="32"/>
  </cols>
  <sheetData>
    <row r="1" ht="18" customHeight="1">
      <c r="A1" s="6" t="s">
        <v>599</v>
      </c>
    </row>
    <row r="2">
      <c r="A2" s="7" t="s">
        <v>600</v>
      </c>
    </row>
    <row r="3" ht="42" customHeight="1">
      <c r="A3" s="8" t="s">
        <v>20</v>
      </c>
      <c r="B3" s="8" t="s">
        <v>601</v>
      </c>
      <c r="C3" s="8" t="s">
        <v>602</v>
      </c>
      <c r="D3" s="8" t="s">
        <v>603</v>
      </c>
      <c r="E3" s="8" t="s">
        <v>604</v>
      </c>
      <c r="F3" s="8" t="s">
        <v>605</v>
      </c>
      <c r="G3" s="8" t="s">
        <v>606</v>
      </c>
      <c r="H3" s="8" t="s">
        <v>607</v>
      </c>
      <c r="I3" s="8" t="s">
        <v>608</v>
      </c>
      <c r="J3" s="8" t="s">
        <v>609</v>
      </c>
      <c r="K3" s="8" t="s">
        <v>610</v>
      </c>
      <c r="L3" s="8" t="s">
        <v>611</v>
      </c>
      <c r="M3" s="8" t="s">
        <v>612</v>
      </c>
    </row>
    <row r="4" ht="39" customHeight="1">
      <c r="A4" s="9" t="s">
        <v>36</v>
      </c>
      <c r="B4" s="9" t="s">
        <v>613</v>
      </c>
      <c r="C4" s="9" t="s">
        <v>614</v>
      </c>
      <c r="D4" s="9" t="s">
        <v>615</v>
      </c>
      <c r="E4" s="9" t="s">
        <v>616</v>
      </c>
      <c r="F4" s="9" t="s">
        <v>617</v>
      </c>
      <c r="G4" s="9" t="s">
        <v>618</v>
      </c>
      <c r="H4" s="9" t="s">
        <v>619</v>
      </c>
      <c r="I4" s="9" t="s">
        <v>44</v>
      </c>
      <c r="J4" s="9" t="s">
        <v>620</v>
      </c>
      <c r="K4" s="9" t="s">
        <v>621</v>
      </c>
      <c r="L4" s="9" t="s">
        <v>622</v>
      </c>
      <c r="M4" s="9" t="s">
        <v>623</v>
      </c>
    </row>
    <row r="5">
      <c r="A5" s="10" t="s">
        <v>144</v>
      </c>
      <c r="B5" s="10" t="s">
        <v>624</v>
      </c>
      <c r="C5" s="10" t="s">
        <v>625</v>
      </c>
      <c r="D5" s="10" t="s">
        <v>145</v>
      </c>
      <c r="E5" s="10" t="s">
        <v>626</v>
      </c>
      <c r="F5" s="10" t="s">
        <v>627</v>
      </c>
      <c r="G5" s="10" t="s">
        <v>628</v>
      </c>
      <c r="H5" s="10" t="s">
        <v>629</v>
      </c>
      <c r="I5" s="10" t="s">
        <v>630</v>
      </c>
      <c r="J5" s="10" t="s">
        <v>631</v>
      </c>
      <c r="K5" s="10" t="s">
        <v>621</v>
      </c>
      <c r="L5" s="10" t="s">
        <v>632</v>
      </c>
      <c r="M5" s="10" t="s">
        <v>633</v>
      </c>
    </row>
    <row r="6">
      <c r="A6" s="10" t="s">
        <v>144</v>
      </c>
      <c r="B6" s="10" t="s">
        <v>624</v>
      </c>
      <c r="C6" s="10" t="s">
        <v>634</v>
      </c>
      <c r="D6" s="10" t="s">
        <v>145</v>
      </c>
      <c r="E6" s="10" t="s">
        <v>635</v>
      </c>
      <c r="F6" s="10" t="s">
        <v>636</v>
      </c>
      <c r="G6" s="10" t="s">
        <v>637</v>
      </c>
      <c r="H6" s="10" t="s">
        <v>638</v>
      </c>
      <c r="I6" s="10" t="s">
        <v>44</v>
      </c>
      <c r="J6" s="10" t="s">
        <v>639</v>
      </c>
      <c r="K6" s="10" t="s">
        <v>621</v>
      </c>
      <c r="L6" s="10" t="s">
        <v>640</v>
      </c>
      <c r="M6" s="10" t="s">
        <v>641</v>
      </c>
    </row>
    <row r="7">
      <c r="A7" s="10" t="s">
        <v>144</v>
      </c>
      <c r="B7" s="10" t="s">
        <v>624</v>
      </c>
      <c r="C7" s="10" t="s">
        <v>642</v>
      </c>
      <c r="D7" s="10" t="s">
        <v>145</v>
      </c>
      <c r="E7" s="10" t="s">
        <v>643</v>
      </c>
      <c r="F7" s="10" t="s">
        <v>636</v>
      </c>
      <c r="G7" s="10" t="s">
        <v>637</v>
      </c>
      <c r="H7" s="10" t="s">
        <v>644</v>
      </c>
      <c r="I7" s="10" t="s">
        <v>44</v>
      </c>
      <c r="J7" s="10" t="s">
        <v>645</v>
      </c>
      <c r="K7" s="10" t="s">
        <v>621</v>
      </c>
      <c r="L7" s="10" t="s">
        <v>646</v>
      </c>
      <c r="M7" s="10" t="s">
        <v>647</v>
      </c>
    </row>
    <row r="8">
      <c r="A8" s="10" t="s">
        <v>144</v>
      </c>
      <c r="B8" s="10" t="s">
        <v>624</v>
      </c>
      <c r="C8" s="10" t="s">
        <v>648</v>
      </c>
      <c r="D8" s="10" t="s">
        <v>145</v>
      </c>
      <c r="E8" s="10" t="s">
        <v>649</v>
      </c>
      <c r="F8" s="10" t="s">
        <v>650</v>
      </c>
      <c r="G8" s="10" t="s">
        <v>637</v>
      </c>
      <c r="H8" s="10" t="s">
        <v>651</v>
      </c>
      <c r="I8" s="10" t="s">
        <v>44</v>
      </c>
      <c r="J8" s="10" t="s">
        <v>652</v>
      </c>
      <c r="K8" s="10" t="s">
        <v>621</v>
      </c>
      <c r="L8" s="10" t="s">
        <v>653</v>
      </c>
      <c r="M8" s="10" t="s">
        <v>654</v>
      </c>
    </row>
    <row r="9">
      <c r="A9" s="10" t="s">
        <v>144</v>
      </c>
      <c r="B9" s="10" t="s">
        <v>624</v>
      </c>
      <c r="C9" s="10" t="s">
        <v>655</v>
      </c>
      <c r="D9" s="10" t="s">
        <v>145</v>
      </c>
      <c r="E9" s="10" t="s">
        <v>656</v>
      </c>
      <c r="F9" s="10" t="s">
        <v>636</v>
      </c>
      <c r="G9" s="10" t="s">
        <v>637</v>
      </c>
      <c r="H9" s="10" t="s">
        <v>657</v>
      </c>
      <c r="I9" s="10" t="s">
        <v>44</v>
      </c>
      <c r="J9" s="10" t="s">
        <v>658</v>
      </c>
      <c r="K9" s="10" t="s">
        <v>621</v>
      </c>
      <c r="L9" s="10" t="s">
        <v>659</v>
      </c>
      <c r="M9" s="10" t="s">
        <v>660</v>
      </c>
    </row>
    <row r="10">
      <c r="A10" s="10" t="s">
        <v>144</v>
      </c>
      <c r="B10" s="10" t="s">
        <v>624</v>
      </c>
      <c r="C10" s="10" t="s">
        <v>661</v>
      </c>
      <c r="D10" s="10" t="s">
        <v>145</v>
      </c>
      <c r="E10" s="10" t="s">
        <v>662</v>
      </c>
      <c r="F10" s="10" t="s">
        <v>636</v>
      </c>
      <c r="G10" s="10" t="s">
        <v>637</v>
      </c>
      <c r="H10" s="10" t="s">
        <v>663</v>
      </c>
      <c r="I10" s="10" t="s">
        <v>44</v>
      </c>
      <c r="J10" s="10" t="s">
        <v>664</v>
      </c>
      <c r="K10" s="10" t="s">
        <v>621</v>
      </c>
      <c r="L10" s="10" t="s">
        <v>665</v>
      </c>
      <c r="M10" s="10" t="s">
        <v>666</v>
      </c>
    </row>
    <row r="11">
      <c r="A11" s="10" t="s">
        <v>144</v>
      </c>
      <c r="B11" s="10" t="s">
        <v>624</v>
      </c>
      <c r="C11" s="10" t="s">
        <v>667</v>
      </c>
      <c r="D11" s="10" t="s">
        <v>145</v>
      </c>
      <c r="E11" s="10" t="s">
        <v>668</v>
      </c>
      <c r="F11" s="10" t="s">
        <v>636</v>
      </c>
      <c r="G11" s="10" t="s">
        <v>637</v>
      </c>
      <c r="H11" s="10" t="s">
        <v>669</v>
      </c>
      <c r="I11" s="10" t="s">
        <v>630</v>
      </c>
      <c r="J11" s="10" t="s">
        <v>670</v>
      </c>
      <c r="K11" s="10" t="s">
        <v>621</v>
      </c>
      <c r="L11" s="10" t="s">
        <v>671</v>
      </c>
      <c r="M11" s="10" t="s">
        <v>672</v>
      </c>
    </row>
    <row r="12">
      <c r="A12" s="10" t="s">
        <v>144</v>
      </c>
      <c r="B12" s="10" t="s">
        <v>624</v>
      </c>
      <c r="C12" s="10" t="s">
        <v>673</v>
      </c>
      <c r="D12" s="10" t="s">
        <v>145</v>
      </c>
      <c r="E12" s="10" t="s">
        <v>674</v>
      </c>
      <c r="F12" s="10" t="s">
        <v>636</v>
      </c>
      <c r="G12" s="10" t="s">
        <v>628</v>
      </c>
      <c r="H12" s="10" t="s">
        <v>675</v>
      </c>
      <c r="I12" s="10" t="s">
        <v>44</v>
      </c>
      <c r="J12" s="10" t="s">
        <v>676</v>
      </c>
      <c r="K12" s="10" t="s">
        <v>621</v>
      </c>
      <c r="L12" s="10" t="s">
        <v>677</v>
      </c>
      <c r="M12" s="10" t="s">
        <v>678</v>
      </c>
    </row>
    <row r="13">
      <c r="A13" s="10" t="s">
        <v>144</v>
      </c>
      <c r="B13" s="10" t="s">
        <v>624</v>
      </c>
      <c r="C13" s="10" t="s">
        <v>679</v>
      </c>
      <c r="D13" s="10" t="s">
        <v>145</v>
      </c>
      <c r="E13" s="10" t="s">
        <v>680</v>
      </c>
      <c r="F13" s="10" t="s">
        <v>681</v>
      </c>
      <c r="G13" s="10" t="s">
        <v>637</v>
      </c>
      <c r="H13" s="10" t="s">
        <v>64</v>
      </c>
      <c r="I13" s="10" t="s">
        <v>44</v>
      </c>
      <c r="J13" s="10" t="s">
        <v>682</v>
      </c>
      <c r="K13" s="10" t="s">
        <v>621</v>
      </c>
      <c r="L13" s="10" t="s">
        <v>683</v>
      </c>
      <c r="M13" s="10" t="s">
        <v>684</v>
      </c>
    </row>
    <row r="14">
      <c r="A14" s="10" t="s">
        <v>171</v>
      </c>
      <c r="B14" s="10" t="s">
        <v>624</v>
      </c>
      <c r="C14" s="10" t="s">
        <v>685</v>
      </c>
      <c r="D14" s="10" t="s">
        <v>172</v>
      </c>
      <c r="E14" s="10" t="s">
        <v>686</v>
      </c>
      <c r="F14" s="10" t="s">
        <v>650</v>
      </c>
      <c r="G14" s="10" t="s">
        <v>637</v>
      </c>
      <c r="H14" s="10" t="s">
        <v>687</v>
      </c>
      <c r="I14" s="10" t="s">
        <v>44</v>
      </c>
      <c r="J14" s="10" t="s">
        <v>688</v>
      </c>
      <c r="K14" s="10" t="s">
        <v>621</v>
      </c>
      <c r="L14" s="10" t="s">
        <v>689</v>
      </c>
      <c r="M14" s="10" t="s">
        <v>690</v>
      </c>
    </row>
    <row r="15">
      <c r="A15" s="10" t="s">
        <v>171</v>
      </c>
      <c r="B15" s="10" t="s">
        <v>624</v>
      </c>
      <c r="C15" s="10" t="s">
        <v>691</v>
      </c>
      <c r="D15" s="10" t="s">
        <v>172</v>
      </c>
      <c r="E15" s="10" t="s">
        <v>692</v>
      </c>
      <c r="F15" s="10" t="s">
        <v>627</v>
      </c>
      <c r="G15" s="10" t="s">
        <v>693</v>
      </c>
      <c r="H15" s="10" t="s">
        <v>694</v>
      </c>
      <c r="I15" s="10" t="s">
        <v>630</v>
      </c>
      <c r="J15" s="10" t="s">
        <v>695</v>
      </c>
      <c r="K15" s="10" t="s">
        <v>621</v>
      </c>
      <c r="L15" s="10" t="s">
        <v>696</v>
      </c>
      <c r="M15" s="10" t="s">
        <v>697</v>
      </c>
    </row>
    <row r="16">
      <c r="A16" s="10" t="s">
        <v>144</v>
      </c>
      <c r="B16" s="10" t="s">
        <v>624</v>
      </c>
      <c r="C16" s="10" t="s">
        <v>698</v>
      </c>
      <c r="D16" s="10" t="s">
        <v>145</v>
      </c>
      <c r="E16" s="10" t="s">
        <v>699</v>
      </c>
      <c r="F16" s="10" t="s">
        <v>617</v>
      </c>
      <c r="G16" s="10" t="s">
        <v>700</v>
      </c>
      <c r="H16" s="10" t="s">
        <v>629</v>
      </c>
      <c r="I16" s="10" t="s">
        <v>44</v>
      </c>
      <c r="J16" s="10" t="s">
        <v>620</v>
      </c>
      <c r="K16" s="10" t="s">
        <v>621</v>
      </c>
      <c r="L16" s="10" t="s">
        <v>701</v>
      </c>
      <c r="M16" s="10" t="s">
        <v>702</v>
      </c>
    </row>
    <row r="17">
      <c r="A17" s="10" t="s">
        <v>144</v>
      </c>
      <c r="B17" s="10" t="s">
        <v>624</v>
      </c>
      <c r="C17" s="10" t="s">
        <v>703</v>
      </c>
      <c r="D17" s="10" t="s">
        <v>145</v>
      </c>
      <c r="E17" s="10" t="s">
        <v>704</v>
      </c>
      <c r="F17" s="10" t="s">
        <v>627</v>
      </c>
      <c r="G17" s="10" t="s">
        <v>705</v>
      </c>
      <c r="H17" s="10" t="s">
        <v>706</v>
      </c>
      <c r="I17" s="10" t="s">
        <v>44</v>
      </c>
      <c r="J17" s="10" t="s">
        <v>707</v>
      </c>
      <c r="K17" s="10" t="s">
        <v>621</v>
      </c>
      <c r="L17" s="10" t="s">
        <v>708</v>
      </c>
      <c r="M17" s="10" t="s">
        <v>709</v>
      </c>
    </row>
    <row r="18">
      <c r="A18" s="10" t="s">
        <v>144</v>
      </c>
      <c r="B18" s="10" t="s">
        <v>624</v>
      </c>
      <c r="C18" s="10" t="s">
        <v>710</v>
      </c>
      <c r="D18" s="10" t="s">
        <v>145</v>
      </c>
      <c r="E18" s="10" t="s">
        <v>711</v>
      </c>
      <c r="F18" s="10" t="s">
        <v>627</v>
      </c>
      <c r="G18" s="10" t="s">
        <v>638</v>
      </c>
      <c r="H18" s="10" t="s">
        <v>712</v>
      </c>
      <c r="I18" s="10" t="s">
        <v>44</v>
      </c>
      <c r="J18" s="10" t="s">
        <v>620</v>
      </c>
      <c r="K18" s="10" t="s">
        <v>621</v>
      </c>
      <c r="L18" s="10" t="s">
        <v>713</v>
      </c>
      <c r="M18" s="10" t="s">
        <v>714</v>
      </c>
    </row>
    <row r="19">
      <c r="A19" s="10" t="s">
        <v>151</v>
      </c>
      <c r="B19" s="10" t="s">
        <v>624</v>
      </c>
      <c r="C19" s="10" t="s">
        <v>715</v>
      </c>
      <c r="D19" s="10" t="s">
        <v>152</v>
      </c>
      <c r="E19" s="10" t="s">
        <v>716</v>
      </c>
      <c r="F19" s="10" t="s">
        <v>617</v>
      </c>
      <c r="G19" s="10" t="s">
        <v>700</v>
      </c>
      <c r="H19" s="10" t="s">
        <v>717</v>
      </c>
      <c r="I19" s="10" t="s">
        <v>44</v>
      </c>
      <c r="J19" s="10" t="s">
        <v>620</v>
      </c>
      <c r="K19" s="10" t="s">
        <v>621</v>
      </c>
      <c r="L19" s="10" t="s">
        <v>701</v>
      </c>
      <c r="M19" s="10" t="s">
        <v>718</v>
      </c>
    </row>
    <row r="20">
      <c r="A20" s="10" t="s">
        <v>161</v>
      </c>
      <c r="B20" s="10" t="s">
        <v>624</v>
      </c>
      <c r="C20" s="10" t="s">
        <v>719</v>
      </c>
      <c r="D20" s="10" t="s">
        <v>162</v>
      </c>
      <c r="E20" s="10" t="s">
        <v>720</v>
      </c>
      <c r="F20" s="10" t="s">
        <v>617</v>
      </c>
      <c r="G20" s="10" t="s">
        <v>700</v>
      </c>
      <c r="H20" s="10" t="s">
        <v>721</v>
      </c>
      <c r="I20" s="10" t="s">
        <v>44</v>
      </c>
      <c r="J20" s="10" t="s">
        <v>620</v>
      </c>
      <c r="K20" s="10" t="s">
        <v>621</v>
      </c>
      <c r="L20" s="10" t="s">
        <v>701</v>
      </c>
      <c r="M20" s="10" t="s">
        <v>722</v>
      </c>
    </row>
    <row r="21">
      <c r="A21" s="10" t="s">
        <v>144</v>
      </c>
      <c r="B21" s="10" t="s">
        <v>624</v>
      </c>
      <c r="C21" s="10" t="s">
        <v>723</v>
      </c>
      <c r="D21" s="10" t="s">
        <v>145</v>
      </c>
      <c r="E21" s="10" t="s">
        <v>724</v>
      </c>
      <c r="F21" s="10" t="s">
        <v>617</v>
      </c>
      <c r="G21" s="10" t="s">
        <v>700</v>
      </c>
      <c r="H21" s="10" t="s">
        <v>725</v>
      </c>
      <c r="I21" s="10" t="s">
        <v>44</v>
      </c>
      <c r="J21" s="10" t="s">
        <v>726</v>
      </c>
      <c r="K21" s="10" t="s">
        <v>621</v>
      </c>
      <c r="L21" s="10" t="s">
        <v>727</v>
      </c>
      <c r="M21" s="10" t="s">
        <v>728</v>
      </c>
    </row>
    <row r="22">
      <c r="A22" s="10" t="s">
        <v>171</v>
      </c>
      <c r="B22" s="10" t="s">
        <v>624</v>
      </c>
      <c r="C22" s="10" t="s">
        <v>729</v>
      </c>
      <c r="D22" s="10" t="s">
        <v>172</v>
      </c>
      <c r="E22" s="10" t="s">
        <v>730</v>
      </c>
      <c r="F22" s="10" t="s">
        <v>617</v>
      </c>
      <c r="G22" s="10" t="s">
        <v>700</v>
      </c>
      <c r="H22" s="10" t="s">
        <v>731</v>
      </c>
      <c r="I22" s="10" t="s">
        <v>44</v>
      </c>
      <c r="J22" s="10" t="s">
        <v>620</v>
      </c>
      <c r="K22" s="10" t="s">
        <v>621</v>
      </c>
      <c r="L22" s="10" t="s">
        <v>732</v>
      </c>
      <c r="M22" s="10" t="s">
        <v>733</v>
      </c>
    </row>
    <row r="23">
      <c r="A23" s="10" t="s">
        <v>171</v>
      </c>
      <c r="B23" s="10" t="s">
        <v>624</v>
      </c>
      <c r="C23" s="10" t="s">
        <v>734</v>
      </c>
      <c r="D23" s="10" t="s">
        <v>172</v>
      </c>
      <c r="E23" s="10" t="s">
        <v>735</v>
      </c>
      <c r="F23" s="10" t="s">
        <v>627</v>
      </c>
      <c r="G23" s="10" t="s">
        <v>736</v>
      </c>
      <c r="H23" s="10" t="s">
        <v>737</v>
      </c>
      <c r="I23" s="10" t="s">
        <v>44</v>
      </c>
      <c r="J23" s="10" t="s">
        <v>620</v>
      </c>
      <c r="K23" s="10" t="s">
        <v>621</v>
      </c>
      <c r="L23" s="10" t="s">
        <v>738</v>
      </c>
      <c r="M23" s="10" t="s">
        <v>739</v>
      </c>
    </row>
    <row r="24">
      <c r="A24" s="10" t="s">
        <v>52</v>
      </c>
      <c r="B24" s="10" t="s">
        <v>740</v>
      </c>
      <c r="C24" s="10" t="s">
        <v>741</v>
      </c>
      <c r="D24" s="10" t="s">
        <v>53</v>
      </c>
      <c r="E24" s="10" t="s">
        <v>742</v>
      </c>
      <c r="F24" s="10" t="s">
        <v>617</v>
      </c>
      <c r="G24" s="10" t="s">
        <v>743</v>
      </c>
      <c r="H24" s="10" t="s">
        <v>744</v>
      </c>
      <c r="I24" s="10" t="s">
        <v>44</v>
      </c>
      <c r="J24" s="10" t="s">
        <v>745</v>
      </c>
      <c r="K24" s="10" t="s">
        <v>621</v>
      </c>
      <c r="L24" s="10" t="s">
        <v>746</v>
      </c>
      <c r="M24" s="10" t="s">
        <v>747</v>
      </c>
    </row>
    <row r="25">
      <c r="A25" s="10" t="s">
        <v>52</v>
      </c>
      <c r="B25" s="10" t="s">
        <v>740</v>
      </c>
      <c r="C25" s="10" t="s">
        <v>748</v>
      </c>
      <c r="D25" s="10" t="s">
        <v>53</v>
      </c>
      <c r="E25" s="10" t="s">
        <v>749</v>
      </c>
      <c r="F25" s="10" t="s">
        <v>617</v>
      </c>
      <c r="G25" s="10" t="s">
        <v>743</v>
      </c>
      <c r="H25" s="10" t="s">
        <v>750</v>
      </c>
      <c r="I25" s="10" t="s">
        <v>44</v>
      </c>
      <c r="J25" s="10" t="s">
        <v>620</v>
      </c>
      <c r="K25" s="10" t="s">
        <v>621</v>
      </c>
      <c r="L25" s="10" t="s">
        <v>751</v>
      </c>
      <c r="M25" s="10" t="s">
        <v>752</v>
      </c>
    </row>
    <row r="26">
      <c r="A26" s="10" t="s">
        <v>52</v>
      </c>
      <c r="B26" s="10" t="s">
        <v>740</v>
      </c>
      <c r="C26" s="10" t="s">
        <v>753</v>
      </c>
      <c r="D26" s="10" t="s">
        <v>53</v>
      </c>
      <c r="E26" s="10" t="s">
        <v>754</v>
      </c>
      <c r="F26" s="10" t="s">
        <v>627</v>
      </c>
      <c r="G26" s="10" t="s">
        <v>705</v>
      </c>
      <c r="H26" s="10" t="s">
        <v>755</v>
      </c>
      <c r="I26" s="10" t="s">
        <v>44</v>
      </c>
      <c r="J26" s="10" t="s">
        <v>756</v>
      </c>
      <c r="K26" s="10" t="s">
        <v>621</v>
      </c>
      <c r="L26" s="10" t="s">
        <v>757</v>
      </c>
      <c r="M26" s="10" t="s">
        <v>758</v>
      </c>
    </row>
    <row r="27">
      <c r="A27" s="10" t="s">
        <v>67</v>
      </c>
      <c r="B27" s="10" t="s">
        <v>740</v>
      </c>
      <c r="C27" s="10" t="s">
        <v>759</v>
      </c>
      <c r="D27" s="10" t="s">
        <v>68</v>
      </c>
      <c r="E27" s="10" t="s">
        <v>760</v>
      </c>
      <c r="F27" s="10" t="s">
        <v>627</v>
      </c>
      <c r="G27" s="10" t="s">
        <v>761</v>
      </c>
      <c r="H27" s="10" t="s">
        <v>762</v>
      </c>
      <c r="I27" s="10" t="s">
        <v>44</v>
      </c>
      <c r="J27" s="10" t="s">
        <v>745</v>
      </c>
      <c r="K27" s="10" t="s">
        <v>621</v>
      </c>
      <c r="L27" s="10" t="s">
        <v>763</v>
      </c>
      <c r="M27" s="10" t="s">
        <v>764</v>
      </c>
    </row>
    <row r="28">
      <c r="A28" s="10" t="s">
        <v>67</v>
      </c>
      <c r="B28" s="10" t="s">
        <v>740</v>
      </c>
      <c r="C28" s="10" t="s">
        <v>765</v>
      </c>
      <c r="D28" s="10" t="s">
        <v>68</v>
      </c>
      <c r="E28" s="10" t="s">
        <v>766</v>
      </c>
      <c r="F28" s="10" t="s">
        <v>627</v>
      </c>
      <c r="G28" s="10" t="s">
        <v>705</v>
      </c>
      <c r="H28" s="10" t="s">
        <v>767</v>
      </c>
      <c r="I28" s="10" t="s">
        <v>44</v>
      </c>
      <c r="J28" s="10" t="s">
        <v>756</v>
      </c>
      <c r="K28" s="10" t="s">
        <v>621</v>
      </c>
      <c r="L28" s="10" t="s">
        <v>768</v>
      </c>
      <c r="M28" s="10" t="s">
        <v>769</v>
      </c>
    </row>
    <row r="29">
      <c r="A29" s="10" t="s">
        <v>67</v>
      </c>
      <c r="B29" s="10" t="s">
        <v>740</v>
      </c>
      <c r="C29" s="10" t="s">
        <v>770</v>
      </c>
      <c r="D29" s="10" t="s">
        <v>68</v>
      </c>
      <c r="E29" s="10" t="s">
        <v>771</v>
      </c>
      <c r="F29" s="10" t="s">
        <v>617</v>
      </c>
      <c r="G29" s="10" t="s">
        <v>743</v>
      </c>
      <c r="H29" s="10" t="s">
        <v>772</v>
      </c>
      <c r="I29" s="10" t="s">
        <v>44</v>
      </c>
      <c r="J29" s="10" t="s">
        <v>620</v>
      </c>
      <c r="K29" s="10" t="s">
        <v>621</v>
      </c>
      <c r="L29" s="10" t="s">
        <v>773</v>
      </c>
      <c r="M29" s="10" t="s">
        <v>774</v>
      </c>
    </row>
    <row r="30">
      <c r="A30" s="10" t="s">
        <v>67</v>
      </c>
      <c r="B30" s="10" t="s">
        <v>740</v>
      </c>
      <c r="C30" s="10" t="s">
        <v>775</v>
      </c>
      <c r="D30" s="10" t="s">
        <v>68</v>
      </c>
      <c r="E30" s="10" t="s">
        <v>776</v>
      </c>
      <c r="F30" s="10" t="s">
        <v>617</v>
      </c>
      <c r="G30" s="10" t="s">
        <v>743</v>
      </c>
      <c r="H30" s="10" t="s">
        <v>777</v>
      </c>
      <c r="I30" s="10" t="s">
        <v>44</v>
      </c>
      <c r="J30" s="10" t="s">
        <v>620</v>
      </c>
      <c r="K30" s="10" t="s">
        <v>621</v>
      </c>
      <c r="L30" s="10" t="s">
        <v>773</v>
      </c>
      <c r="M30" s="10" t="s">
        <v>774</v>
      </c>
    </row>
    <row r="31">
      <c r="A31" s="10" t="s">
        <v>52</v>
      </c>
      <c r="B31" s="10" t="s">
        <v>740</v>
      </c>
      <c r="C31" s="10" t="s">
        <v>778</v>
      </c>
      <c r="D31" s="10" t="s">
        <v>53</v>
      </c>
      <c r="E31" s="10" t="s">
        <v>779</v>
      </c>
      <c r="F31" s="10" t="s">
        <v>617</v>
      </c>
      <c r="G31" s="10" t="s">
        <v>743</v>
      </c>
      <c r="H31" s="10" t="s">
        <v>780</v>
      </c>
      <c r="I31" s="10" t="s">
        <v>44</v>
      </c>
      <c r="J31" s="10" t="s">
        <v>781</v>
      </c>
      <c r="K31" s="10" t="s">
        <v>621</v>
      </c>
      <c r="L31" s="10" t="s">
        <v>782</v>
      </c>
      <c r="M31" s="10" t="s">
        <v>783</v>
      </c>
    </row>
    <row r="32">
      <c r="A32" s="10" t="s">
        <v>73</v>
      </c>
      <c r="B32" s="10" t="s">
        <v>740</v>
      </c>
      <c r="C32" s="10" t="s">
        <v>784</v>
      </c>
      <c r="D32" s="10" t="s">
        <v>74</v>
      </c>
      <c r="E32" s="10" t="s">
        <v>785</v>
      </c>
      <c r="F32" s="10" t="s">
        <v>617</v>
      </c>
      <c r="G32" s="10" t="s">
        <v>786</v>
      </c>
      <c r="H32" s="10" t="s">
        <v>787</v>
      </c>
      <c r="I32" s="10" t="s">
        <v>44</v>
      </c>
      <c r="J32" s="10" t="s">
        <v>745</v>
      </c>
      <c r="K32" s="10" t="s">
        <v>621</v>
      </c>
      <c r="L32" s="10" t="s">
        <v>788</v>
      </c>
      <c r="M32" s="10" t="s">
        <v>789</v>
      </c>
    </row>
    <row r="33">
      <c r="A33" s="10" t="s">
        <v>73</v>
      </c>
      <c r="B33" s="10" t="s">
        <v>740</v>
      </c>
      <c r="C33" s="10" t="s">
        <v>790</v>
      </c>
      <c r="D33" s="10" t="s">
        <v>74</v>
      </c>
      <c r="E33" s="10" t="s">
        <v>791</v>
      </c>
      <c r="F33" s="10" t="s">
        <v>627</v>
      </c>
      <c r="G33" s="10" t="s">
        <v>792</v>
      </c>
      <c r="H33" s="10" t="s">
        <v>793</v>
      </c>
      <c r="I33" s="10" t="s">
        <v>44</v>
      </c>
      <c r="J33" s="10" t="s">
        <v>745</v>
      </c>
      <c r="K33" s="10" t="s">
        <v>621</v>
      </c>
      <c r="L33" s="10" t="s">
        <v>794</v>
      </c>
      <c r="M33" s="10" t="s">
        <v>795</v>
      </c>
    </row>
    <row r="34">
      <c r="A34" s="10" t="s">
        <v>86</v>
      </c>
      <c r="B34" s="10" t="s">
        <v>740</v>
      </c>
      <c r="C34" s="10" t="s">
        <v>796</v>
      </c>
      <c r="D34" s="10" t="s">
        <v>87</v>
      </c>
      <c r="E34" s="10" t="s">
        <v>797</v>
      </c>
      <c r="F34" s="10" t="s">
        <v>627</v>
      </c>
      <c r="G34" s="10" t="s">
        <v>705</v>
      </c>
      <c r="H34" s="10" t="s">
        <v>798</v>
      </c>
      <c r="I34" s="10" t="s">
        <v>44</v>
      </c>
      <c r="J34" s="10" t="s">
        <v>756</v>
      </c>
      <c r="K34" s="10" t="s">
        <v>621</v>
      </c>
      <c r="L34" s="10" t="s">
        <v>799</v>
      </c>
      <c r="M34" s="10" t="s">
        <v>800</v>
      </c>
    </row>
    <row r="35">
      <c r="A35" s="10" t="s">
        <v>93</v>
      </c>
      <c r="B35" s="10" t="s">
        <v>740</v>
      </c>
      <c r="C35" s="10" t="s">
        <v>801</v>
      </c>
      <c r="D35" s="10" t="s">
        <v>94</v>
      </c>
      <c r="E35" s="10" t="s">
        <v>802</v>
      </c>
      <c r="F35" s="10" t="s">
        <v>617</v>
      </c>
      <c r="G35" s="10" t="s">
        <v>803</v>
      </c>
      <c r="H35" s="10" t="s">
        <v>804</v>
      </c>
      <c r="I35" s="10" t="s">
        <v>44</v>
      </c>
      <c r="J35" s="10" t="s">
        <v>620</v>
      </c>
      <c r="K35" s="10" t="s">
        <v>621</v>
      </c>
      <c r="L35" s="10" t="s">
        <v>805</v>
      </c>
      <c r="M35" s="10" t="s">
        <v>806</v>
      </c>
    </row>
    <row r="36">
      <c r="A36" s="10" t="s">
        <v>93</v>
      </c>
      <c r="B36" s="10" t="s">
        <v>740</v>
      </c>
      <c r="C36" s="10" t="s">
        <v>807</v>
      </c>
      <c r="D36" s="10" t="s">
        <v>94</v>
      </c>
      <c r="E36" s="10" t="s">
        <v>808</v>
      </c>
      <c r="F36" s="10" t="s">
        <v>617</v>
      </c>
      <c r="G36" s="10" t="s">
        <v>809</v>
      </c>
      <c r="H36" s="10" t="s">
        <v>810</v>
      </c>
      <c r="I36" s="10" t="s">
        <v>44</v>
      </c>
      <c r="J36" s="10" t="s">
        <v>620</v>
      </c>
      <c r="K36" s="10" t="s">
        <v>621</v>
      </c>
      <c r="L36" s="10" t="s">
        <v>805</v>
      </c>
      <c r="M36" s="10" t="s">
        <v>811</v>
      </c>
    </row>
    <row r="37">
      <c r="A37" s="10" t="s">
        <v>99</v>
      </c>
      <c r="B37" s="10" t="s">
        <v>812</v>
      </c>
      <c r="C37" s="10" t="s">
        <v>813</v>
      </c>
      <c r="D37" s="10" t="s">
        <v>100</v>
      </c>
      <c r="E37" s="10" t="s">
        <v>814</v>
      </c>
      <c r="F37" s="10" t="s">
        <v>627</v>
      </c>
      <c r="G37" s="10" t="s">
        <v>705</v>
      </c>
      <c r="H37" s="10" t="s">
        <v>815</v>
      </c>
      <c r="I37" s="10" t="s">
        <v>44</v>
      </c>
      <c r="J37" s="10" t="s">
        <v>756</v>
      </c>
      <c r="K37" s="10" t="s">
        <v>621</v>
      </c>
      <c r="L37" s="10" t="s">
        <v>816</v>
      </c>
      <c r="M37" s="10" t="s">
        <v>817</v>
      </c>
    </row>
    <row r="38">
      <c r="A38" s="10" t="s">
        <v>99</v>
      </c>
      <c r="B38" s="10" t="s">
        <v>812</v>
      </c>
      <c r="C38" s="10" t="s">
        <v>818</v>
      </c>
      <c r="D38" s="10" t="s">
        <v>100</v>
      </c>
      <c r="E38" s="10" t="s">
        <v>819</v>
      </c>
      <c r="F38" s="10" t="s">
        <v>627</v>
      </c>
      <c r="G38" s="10" t="s">
        <v>705</v>
      </c>
      <c r="H38" s="10" t="s">
        <v>820</v>
      </c>
      <c r="I38" s="10" t="s">
        <v>44</v>
      </c>
      <c r="J38" s="10" t="s">
        <v>821</v>
      </c>
      <c r="K38" s="10" t="s">
        <v>621</v>
      </c>
      <c r="L38" s="10" t="s">
        <v>822</v>
      </c>
      <c r="M38" s="10" t="s">
        <v>823</v>
      </c>
    </row>
    <row r="39">
      <c r="A39" s="10" t="s">
        <v>106</v>
      </c>
      <c r="B39" s="10" t="s">
        <v>812</v>
      </c>
      <c r="C39" s="10" t="s">
        <v>824</v>
      </c>
      <c r="D39" s="10" t="s">
        <v>107</v>
      </c>
      <c r="E39" s="10" t="s">
        <v>825</v>
      </c>
      <c r="F39" s="10" t="s">
        <v>627</v>
      </c>
      <c r="G39" s="10" t="s">
        <v>826</v>
      </c>
      <c r="H39" s="10" t="s">
        <v>827</v>
      </c>
      <c r="I39" s="10" t="s">
        <v>44</v>
      </c>
      <c r="J39" s="10" t="s">
        <v>745</v>
      </c>
      <c r="K39" s="10" t="s">
        <v>621</v>
      </c>
      <c r="L39" s="10" t="s">
        <v>828</v>
      </c>
      <c r="M39" s="10" t="s">
        <v>829</v>
      </c>
    </row>
    <row r="40">
      <c r="A40" s="10" t="s">
        <v>106</v>
      </c>
      <c r="B40" s="10" t="s">
        <v>812</v>
      </c>
      <c r="C40" s="10" t="s">
        <v>830</v>
      </c>
      <c r="D40" s="10" t="s">
        <v>107</v>
      </c>
      <c r="E40" s="10" t="s">
        <v>831</v>
      </c>
      <c r="F40" s="10" t="s">
        <v>627</v>
      </c>
      <c r="G40" s="10" t="s">
        <v>705</v>
      </c>
      <c r="H40" s="10" t="s">
        <v>832</v>
      </c>
      <c r="I40" s="10" t="s">
        <v>630</v>
      </c>
      <c r="J40" s="10" t="s">
        <v>620</v>
      </c>
      <c r="K40" s="10" t="s">
        <v>621</v>
      </c>
      <c r="L40" s="10" t="s">
        <v>833</v>
      </c>
      <c r="M40" s="10" t="s">
        <v>834</v>
      </c>
    </row>
    <row r="41">
      <c r="A41" s="10" t="s">
        <v>112</v>
      </c>
      <c r="B41" s="10" t="s">
        <v>812</v>
      </c>
      <c r="C41" s="10" t="s">
        <v>835</v>
      </c>
      <c r="D41" s="10" t="s">
        <v>113</v>
      </c>
      <c r="E41" s="10" t="s">
        <v>836</v>
      </c>
      <c r="F41" s="10" t="s">
        <v>617</v>
      </c>
      <c r="G41" s="10" t="s">
        <v>826</v>
      </c>
      <c r="H41" s="10" t="s">
        <v>837</v>
      </c>
      <c r="I41" s="10" t="s">
        <v>44</v>
      </c>
      <c r="J41" s="10" t="s">
        <v>745</v>
      </c>
      <c r="K41" s="10" t="s">
        <v>621</v>
      </c>
      <c r="L41" s="10" t="s">
        <v>838</v>
      </c>
      <c r="M41" s="10" t="s">
        <v>839</v>
      </c>
    </row>
    <row r="42">
      <c r="A42" s="10" t="s">
        <v>120</v>
      </c>
      <c r="B42" s="10" t="s">
        <v>812</v>
      </c>
      <c r="C42" s="10" t="s">
        <v>840</v>
      </c>
      <c r="D42" s="10" t="s">
        <v>121</v>
      </c>
      <c r="E42" s="10" t="s">
        <v>841</v>
      </c>
      <c r="F42" s="10" t="s">
        <v>617</v>
      </c>
      <c r="G42" s="10" t="s">
        <v>842</v>
      </c>
      <c r="H42" s="10" t="s">
        <v>843</v>
      </c>
      <c r="I42" s="10" t="s">
        <v>44</v>
      </c>
      <c r="J42" s="10" t="s">
        <v>620</v>
      </c>
      <c r="K42" s="10" t="s">
        <v>621</v>
      </c>
      <c r="L42" s="10" t="s">
        <v>844</v>
      </c>
      <c r="M42" s="10" t="s">
        <v>845</v>
      </c>
    </row>
    <row r="43">
      <c r="A43" s="10" t="s">
        <v>126</v>
      </c>
      <c r="B43" s="10" t="s">
        <v>812</v>
      </c>
      <c r="C43" s="10" t="s">
        <v>846</v>
      </c>
      <c r="D43" s="10" t="s">
        <v>127</v>
      </c>
      <c r="E43" s="10" t="s">
        <v>847</v>
      </c>
      <c r="F43" s="10" t="s">
        <v>617</v>
      </c>
      <c r="G43" s="10" t="s">
        <v>848</v>
      </c>
      <c r="H43" s="10" t="s">
        <v>849</v>
      </c>
      <c r="I43" s="10" t="s">
        <v>44</v>
      </c>
      <c r="J43" s="10" t="s">
        <v>745</v>
      </c>
      <c r="K43" s="10" t="s">
        <v>621</v>
      </c>
      <c r="L43" s="10" t="s">
        <v>850</v>
      </c>
      <c r="M43" s="10" t="s">
        <v>851</v>
      </c>
    </row>
    <row r="44">
      <c r="A44" s="10" t="s">
        <v>134</v>
      </c>
      <c r="B44" s="10" t="s">
        <v>812</v>
      </c>
      <c r="C44" s="10" t="s">
        <v>852</v>
      </c>
      <c r="D44" s="10" t="s">
        <v>135</v>
      </c>
      <c r="E44" s="10" t="s">
        <v>853</v>
      </c>
      <c r="F44" s="10" t="s">
        <v>617</v>
      </c>
      <c r="G44" s="10" t="s">
        <v>854</v>
      </c>
      <c r="H44" s="10" t="s">
        <v>855</v>
      </c>
      <c r="I44" s="10" t="s">
        <v>44</v>
      </c>
      <c r="J44" s="10" t="s">
        <v>620</v>
      </c>
      <c r="K44" s="10" t="s">
        <v>621</v>
      </c>
      <c r="L44" s="10" t="s">
        <v>856</v>
      </c>
      <c r="M44" s="10" t="s">
        <v>857</v>
      </c>
    </row>
    <row r="45">
      <c r="A45" s="10" t="s">
        <v>201</v>
      </c>
      <c r="B45" s="10" t="s">
        <v>858</v>
      </c>
      <c r="C45" s="10" t="s">
        <v>859</v>
      </c>
      <c r="D45" s="10" t="s">
        <v>202</v>
      </c>
      <c r="E45" s="10" t="s">
        <v>860</v>
      </c>
      <c r="F45" s="10" t="s">
        <v>617</v>
      </c>
      <c r="G45" s="10" t="s">
        <v>792</v>
      </c>
      <c r="H45" s="10" t="s">
        <v>861</v>
      </c>
      <c r="I45" s="10" t="s">
        <v>44</v>
      </c>
      <c r="J45" s="10" t="s">
        <v>620</v>
      </c>
      <c r="K45" s="10" t="s">
        <v>621</v>
      </c>
      <c r="L45" s="10" t="s">
        <v>862</v>
      </c>
      <c r="M45" s="10" t="s">
        <v>863</v>
      </c>
    </row>
    <row r="46">
      <c r="A46" s="10" t="s">
        <v>201</v>
      </c>
      <c r="B46" s="10" t="s">
        <v>858</v>
      </c>
      <c r="C46" s="10" t="s">
        <v>864</v>
      </c>
      <c r="D46" s="10" t="s">
        <v>202</v>
      </c>
      <c r="E46" s="10" t="s">
        <v>865</v>
      </c>
      <c r="F46" s="10" t="s">
        <v>617</v>
      </c>
      <c r="G46" s="10" t="s">
        <v>792</v>
      </c>
      <c r="H46" s="10" t="s">
        <v>866</v>
      </c>
      <c r="I46" s="10" t="s">
        <v>44</v>
      </c>
      <c r="J46" s="10" t="s">
        <v>620</v>
      </c>
      <c r="K46" s="10" t="s">
        <v>621</v>
      </c>
      <c r="L46" s="10" t="s">
        <v>867</v>
      </c>
      <c r="M46" s="10" t="s">
        <v>868</v>
      </c>
    </row>
    <row r="47">
      <c r="A47" s="10" t="s">
        <v>208</v>
      </c>
      <c r="B47" s="10" t="s">
        <v>858</v>
      </c>
      <c r="C47" s="10" t="s">
        <v>869</v>
      </c>
      <c r="D47" s="10" t="s">
        <v>209</v>
      </c>
      <c r="E47" s="10" t="s">
        <v>870</v>
      </c>
      <c r="F47" s="10" t="s">
        <v>617</v>
      </c>
      <c r="G47" s="10" t="s">
        <v>871</v>
      </c>
      <c r="H47" s="10" t="s">
        <v>872</v>
      </c>
      <c r="I47" s="10" t="s">
        <v>44</v>
      </c>
      <c r="J47" s="10" t="s">
        <v>620</v>
      </c>
      <c r="K47" s="10" t="s">
        <v>621</v>
      </c>
      <c r="L47" s="10" t="s">
        <v>873</v>
      </c>
      <c r="M47" s="10" t="s">
        <v>874</v>
      </c>
    </row>
    <row r="48">
      <c r="A48" s="10" t="s">
        <v>216</v>
      </c>
      <c r="B48" s="10" t="s">
        <v>858</v>
      </c>
      <c r="C48" s="10" t="s">
        <v>875</v>
      </c>
      <c r="D48" s="10" t="s">
        <v>217</v>
      </c>
      <c r="E48" s="10" t="s">
        <v>876</v>
      </c>
      <c r="F48" s="10" t="s">
        <v>627</v>
      </c>
      <c r="G48" s="10" t="s">
        <v>705</v>
      </c>
      <c r="H48" s="10" t="s">
        <v>877</v>
      </c>
      <c r="I48" s="10" t="s">
        <v>44</v>
      </c>
      <c r="J48" s="10" t="s">
        <v>756</v>
      </c>
      <c r="K48" s="10" t="s">
        <v>621</v>
      </c>
      <c r="L48" s="10" t="s">
        <v>878</v>
      </c>
      <c r="M48" s="10" t="s">
        <v>879</v>
      </c>
    </row>
    <row r="49">
      <c r="A49" s="10" t="s">
        <v>223</v>
      </c>
      <c r="B49" s="10" t="s">
        <v>858</v>
      </c>
      <c r="C49" s="10" t="s">
        <v>880</v>
      </c>
      <c r="D49" s="10" t="s">
        <v>224</v>
      </c>
      <c r="E49" s="10" t="s">
        <v>881</v>
      </c>
      <c r="F49" s="10" t="s">
        <v>617</v>
      </c>
      <c r="G49" s="10" t="s">
        <v>882</v>
      </c>
      <c r="H49" s="10" t="s">
        <v>883</v>
      </c>
      <c r="I49" s="10" t="s">
        <v>44</v>
      </c>
      <c r="J49" s="10" t="s">
        <v>620</v>
      </c>
      <c r="K49" s="10" t="s">
        <v>621</v>
      </c>
      <c r="L49" s="10" t="s">
        <v>884</v>
      </c>
      <c r="M49" s="10" t="s">
        <v>885</v>
      </c>
    </row>
    <row r="50">
      <c r="A50" s="10" t="s">
        <v>229</v>
      </c>
      <c r="B50" s="10" t="s">
        <v>858</v>
      </c>
      <c r="C50" s="10" t="s">
        <v>886</v>
      </c>
      <c r="D50" s="10" t="s">
        <v>230</v>
      </c>
      <c r="E50" s="10" t="s">
        <v>887</v>
      </c>
      <c r="F50" s="10" t="s">
        <v>617</v>
      </c>
      <c r="G50" s="10" t="s">
        <v>882</v>
      </c>
      <c r="H50" s="10" t="s">
        <v>888</v>
      </c>
      <c r="I50" s="10" t="s">
        <v>44</v>
      </c>
      <c r="J50" s="10" t="s">
        <v>620</v>
      </c>
      <c r="K50" s="10" t="s">
        <v>621</v>
      </c>
      <c r="L50" s="10" t="s">
        <v>889</v>
      </c>
      <c r="M50" s="10" t="s">
        <v>890</v>
      </c>
    </row>
    <row r="51">
      <c r="A51" s="10" t="s">
        <v>233</v>
      </c>
      <c r="B51" s="10" t="s">
        <v>858</v>
      </c>
      <c r="C51" s="10" t="s">
        <v>891</v>
      </c>
      <c r="D51" s="10" t="s">
        <v>234</v>
      </c>
      <c r="E51" s="10" t="s">
        <v>892</v>
      </c>
      <c r="F51" s="10" t="s">
        <v>617</v>
      </c>
      <c r="G51" s="10" t="s">
        <v>893</v>
      </c>
      <c r="H51" s="10" t="s">
        <v>894</v>
      </c>
      <c r="I51" s="10" t="s">
        <v>44</v>
      </c>
      <c r="J51" s="10" t="s">
        <v>620</v>
      </c>
      <c r="K51" s="10" t="s">
        <v>621</v>
      </c>
      <c r="L51" s="10" t="s">
        <v>895</v>
      </c>
      <c r="M51" s="10" t="s">
        <v>896</v>
      </c>
    </row>
    <row r="52">
      <c r="A52" s="10" t="s">
        <v>240</v>
      </c>
      <c r="B52" s="10" t="s">
        <v>858</v>
      </c>
      <c r="C52" s="10" t="s">
        <v>897</v>
      </c>
      <c r="D52" s="10" t="s">
        <v>241</v>
      </c>
      <c r="E52" s="10" t="s">
        <v>898</v>
      </c>
      <c r="F52" s="10" t="s">
        <v>617</v>
      </c>
      <c r="G52" s="10" t="s">
        <v>899</v>
      </c>
      <c r="H52" s="10" t="s">
        <v>900</v>
      </c>
      <c r="I52" s="10" t="s">
        <v>44</v>
      </c>
      <c r="J52" s="10" t="s">
        <v>620</v>
      </c>
      <c r="K52" s="10" t="s">
        <v>621</v>
      </c>
      <c r="L52" s="10" t="s">
        <v>901</v>
      </c>
      <c r="M52" s="10" t="s">
        <v>902</v>
      </c>
    </row>
    <row r="53">
      <c r="A53" s="10" t="s">
        <v>257</v>
      </c>
      <c r="B53" s="10" t="s">
        <v>903</v>
      </c>
      <c r="C53" s="10" t="s">
        <v>904</v>
      </c>
      <c r="D53" s="10" t="s">
        <v>258</v>
      </c>
      <c r="E53" s="10" t="s">
        <v>905</v>
      </c>
      <c r="F53" s="10" t="s">
        <v>627</v>
      </c>
      <c r="G53" s="10" t="s">
        <v>906</v>
      </c>
      <c r="H53" s="10" t="s">
        <v>907</v>
      </c>
      <c r="I53" s="10" t="s">
        <v>44</v>
      </c>
      <c r="J53" s="10" t="s">
        <v>745</v>
      </c>
      <c r="K53" s="10" t="s">
        <v>621</v>
      </c>
      <c r="L53" s="10" t="s">
        <v>908</v>
      </c>
      <c r="M53" s="10" t="s">
        <v>909</v>
      </c>
    </row>
    <row r="54">
      <c r="A54" s="10" t="s">
        <v>250</v>
      </c>
      <c r="B54" s="10" t="s">
        <v>903</v>
      </c>
      <c r="C54" s="10" t="s">
        <v>910</v>
      </c>
      <c r="D54" s="10" t="s">
        <v>251</v>
      </c>
      <c r="E54" s="10" t="s">
        <v>911</v>
      </c>
      <c r="F54" s="10" t="s">
        <v>627</v>
      </c>
      <c r="G54" s="10" t="s">
        <v>906</v>
      </c>
      <c r="H54" s="10" t="s">
        <v>912</v>
      </c>
      <c r="I54" s="10" t="s">
        <v>44</v>
      </c>
      <c r="J54" s="10" t="s">
        <v>745</v>
      </c>
      <c r="K54" s="10" t="s">
        <v>621</v>
      </c>
      <c r="L54" s="10" t="s">
        <v>913</v>
      </c>
      <c r="M54" s="10" t="s">
        <v>914</v>
      </c>
    </row>
    <row r="55">
      <c r="A55" s="10" t="s">
        <v>257</v>
      </c>
      <c r="B55" s="10" t="s">
        <v>903</v>
      </c>
      <c r="C55" s="10" t="s">
        <v>915</v>
      </c>
      <c r="D55" s="10" t="s">
        <v>258</v>
      </c>
      <c r="E55" s="10" t="s">
        <v>916</v>
      </c>
      <c r="F55" s="10" t="s">
        <v>627</v>
      </c>
      <c r="G55" s="10" t="s">
        <v>705</v>
      </c>
      <c r="H55" s="10" t="s">
        <v>917</v>
      </c>
      <c r="I55" s="10" t="s">
        <v>44</v>
      </c>
      <c r="J55" s="10" t="s">
        <v>756</v>
      </c>
      <c r="K55" s="10" t="s">
        <v>621</v>
      </c>
      <c r="L55" s="10" t="s">
        <v>918</v>
      </c>
      <c r="M55" s="10" t="s">
        <v>919</v>
      </c>
    </row>
    <row r="56">
      <c r="A56" s="10" t="s">
        <v>261</v>
      </c>
      <c r="B56" s="10" t="s">
        <v>903</v>
      </c>
      <c r="C56" s="10" t="s">
        <v>920</v>
      </c>
      <c r="D56" s="10" t="s">
        <v>262</v>
      </c>
      <c r="E56" s="10" t="s">
        <v>921</v>
      </c>
      <c r="F56" s="10" t="s">
        <v>617</v>
      </c>
      <c r="G56" s="10" t="s">
        <v>922</v>
      </c>
      <c r="H56" s="10" t="s">
        <v>923</v>
      </c>
      <c r="I56" s="10" t="s">
        <v>44</v>
      </c>
      <c r="J56" s="10" t="s">
        <v>620</v>
      </c>
      <c r="K56" s="10" t="s">
        <v>621</v>
      </c>
      <c r="L56" s="10" t="s">
        <v>924</v>
      </c>
      <c r="M56" s="10" t="s">
        <v>925</v>
      </c>
    </row>
    <row r="57">
      <c r="A57" s="10" t="s">
        <v>270</v>
      </c>
      <c r="B57" s="10" t="s">
        <v>903</v>
      </c>
      <c r="C57" s="10" t="s">
        <v>926</v>
      </c>
      <c r="D57" s="10" t="s">
        <v>271</v>
      </c>
      <c r="E57" s="10" t="s">
        <v>927</v>
      </c>
      <c r="F57" s="10" t="s">
        <v>627</v>
      </c>
      <c r="G57" s="10" t="s">
        <v>906</v>
      </c>
      <c r="H57" s="10" t="s">
        <v>928</v>
      </c>
      <c r="I57" s="10" t="s">
        <v>44</v>
      </c>
      <c r="J57" s="10" t="s">
        <v>620</v>
      </c>
      <c r="K57" s="10" t="s">
        <v>621</v>
      </c>
      <c r="L57" s="10" t="s">
        <v>929</v>
      </c>
      <c r="M57" s="10" t="s">
        <v>930</v>
      </c>
    </row>
    <row r="58">
      <c r="A58" s="10" t="s">
        <v>275</v>
      </c>
      <c r="B58" s="10" t="s">
        <v>903</v>
      </c>
      <c r="C58" s="10" t="s">
        <v>931</v>
      </c>
      <c r="D58" s="10" t="s">
        <v>276</v>
      </c>
      <c r="E58" s="10" t="s">
        <v>932</v>
      </c>
      <c r="F58" s="10" t="s">
        <v>617</v>
      </c>
      <c r="G58" s="10" t="s">
        <v>848</v>
      </c>
      <c r="H58" s="10" t="s">
        <v>933</v>
      </c>
      <c r="I58" s="10" t="s">
        <v>44</v>
      </c>
      <c r="J58" s="10" t="s">
        <v>620</v>
      </c>
      <c r="K58" s="10" t="s">
        <v>621</v>
      </c>
      <c r="L58" s="10" t="s">
        <v>934</v>
      </c>
      <c r="M58" s="10" t="s">
        <v>935</v>
      </c>
    </row>
    <row r="59">
      <c r="A59" s="10" t="s">
        <v>275</v>
      </c>
      <c r="B59" s="10" t="s">
        <v>903</v>
      </c>
      <c r="C59" s="10" t="s">
        <v>936</v>
      </c>
      <c r="D59" s="10" t="s">
        <v>276</v>
      </c>
      <c r="E59" s="10" t="s">
        <v>937</v>
      </c>
      <c r="F59" s="10" t="s">
        <v>617</v>
      </c>
      <c r="G59" s="10" t="s">
        <v>938</v>
      </c>
      <c r="H59" s="10" t="s">
        <v>939</v>
      </c>
      <c r="I59" s="10" t="s">
        <v>44</v>
      </c>
      <c r="J59" s="10" t="s">
        <v>745</v>
      </c>
      <c r="K59" s="10" t="s">
        <v>621</v>
      </c>
      <c r="L59" s="10" t="s">
        <v>940</v>
      </c>
      <c r="M59" s="10" t="s">
        <v>941</v>
      </c>
    </row>
    <row r="60">
      <c r="A60" s="10" t="s">
        <v>275</v>
      </c>
      <c r="B60" s="10" t="s">
        <v>903</v>
      </c>
      <c r="C60" s="10" t="s">
        <v>942</v>
      </c>
      <c r="D60" s="10" t="s">
        <v>276</v>
      </c>
      <c r="E60" s="10" t="s">
        <v>943</v>
      </c>
      <c r="F60" s="10" t="s">
        <v>636</v>
      </c>
      <c r="G60" s="10" t="s">
        <v>637</v>
      </c>
      <c r="H60" s="10" t="s">
        <v>944</v>
      </c>
      <c r="I60" s="10" t="s">
        <v>630</v>
      </c>
      <c r="J60" s="10" t="s">
        <v>670</v>
      </c>
      <c r="K60" s="10" t="s">
        <v>945</v>
      </c>
      <c r="L60" s="10" t="s">
        <v>946</v>
      </c>
      <c r="M60" s="10" t="s">
        <v>947</v>
      </c>
    </row>
    <row r="61">
      <c r="A61" s="10" t="s">
        <v>284</v>
      </c>
      <c r="B61" s="10" t="s">
        <v>903</v>
      </c>
      <c r="C61" s="10" t="s">
        <v>948</v>
      </c>
      <c r="D61" s="10" t="s">
        <v>285</v>
      </c>
      <c r="E61" s="10" t="s">
        <v>949</v>
      </c>
      <c r="F61" s="10" t="s">
        <v>627</v>
      </c>
      <c r="G61" s="10" t="s">
        <v>906</v>
      </c>
      <c r="H61" s="10" t="s">
        <v>950</v>
      </c>
      <c r="I61" s="10" t="s">
        <v>44</v>
      </c>
      <c r="J61" s="10" t="s">
        <v>745</v>
      </c>
      <c r="K61" s="10" t="s">
        <v>621</v>
      </c>
      <c r="L61" s="10" t="s">
        <v>951</v>
      </c>
      <c r="M61" s="10" t="s">
        <v>952</v>
      </c>
    </row>
    <row r="62">
      <c r="A62" s="10" t="s">
        <v>291</v>
      </c>
      <c r="B62" s="10" t="s">
        <v>953</v>
      </c>
      <c r="C62" s="10" t="s">
        <v>954</v>
      </c>
      <c r="D62" s="10" t="s">
        <v>292</v>
      </c>
      <c r="E62" s="10" t="s">
        <v>955</v>
      </c>
      <c r="F62" s="10" t="s">
        <v>627</v>
      </c>
      <c r="G62" s="10" t="s">
        <v>956</v>
      </c>
      <c r="H62" s="10" t="s">
        <v>957</v>
      </c>
      <c r="I62" s="10" t="s">
        <v>44</v>
      </c>
      <c r="J62" s="10" t="s">
        <v>756</v>
      </c>
      <c r="K62" s="10" t="s">
        <v>621</v>
      </c>
      <c r="L62" s="10" t="s">
        <v>958</v>
      </c>
      <c r="M62" s="10" t="s">
        <v>959</v>
      </c>
    </row>
    <row r="63">
      <c r="A63" s="10" t="s">
        <v>297</v>
      </c>
      <c r="B63" s="10" t="s">
        <v>953</v>
      </c>
      <c r="C63" s="10" t="s">
        <v>960</v>
      </c>
      <c r="D63" s="10" t="s">
        <v>298</v>
      </c>
      <c r="E63" s="10" t="s">
        <v>961</v>
      </c>
      <c r="F63" s="10" t="s">
        <v>617</v>
      </c>
      <c r="G63" s="10" t="s">
        <v>962</v>
      </c>
      <c r="H63" s="10" t="s">
        <v>963</v>
      </c>
      <c r="I63" s="10" t="s">
        <v>44</v>
      </c>
      <c r="J63" s="10" t="s">
        <v>620</v>
      </c>
      <c r="K63" s="10" t="s">
        <v>621</v>
      </c>
      <c r="L63" s="10" t="s">
        <v>964</v>
      </c>
      <c r="M63" s="10" t="s">
        <v>965</v>
      </c>
    </row>
    <row r="64">
      <c r="A64" s="10" t="s">
        <v>314</v>
      </c>
      <c r="B64" s="10" t="s">
        <v>953</v>
      </c>
      <c r="C64" s="10" t="s">
        <v>966</v>
      </c>
      <c r="D64" s="10" t="s">
        <v>315</v>
      </c>
      <c r="E64" s="10" t="s">
        <v>967</v>
      </c>
      <c r="F64" s="10" t="s">
        <v>617</v>
      </c>
      <c r="G64" s="10" t="s">
        <v>968</v>
      </c>
      <c r="H64" s="10" t="s">
        <v>969</v>
      </c>
      <c r="I64" s="10" t="s">
        <v>44</v>
      </c>
      <c r="J64" s="10" t="s">
        <v>620</v>
      </c>
      <c r="K64" s="10" t="s">
        <v>621</v>
      </c>
      <c r="L64" s="10" t="s">
        <v>970</v>
      </c>
      <c r="M64" s="10" t="s">
        <v>971</v>
      </c>
    </row>
    <row r="65">
      <c r="A65" s="10" t="s">
        <v>320</v>
      </c>
      <c r="B65" s="10" t="s">
        <v>953</v>
      </c>
      <c r="C65" s="10" t="s">
        <v>972</v>
      </c>
      <c r="D65" s="10" t="s">
        <v>321</v>
      </c>
      <c r="E65" s="10" t="s">
        <v>973</v>
      </c>
      <c r="F65" s="10" t="s">
        <v>627</v>
      </c>
      <c r="G65" s="10" t="s">
        <v>974</v>
      </c>
      <c r="H65" s="10" t="s">
        <v>975</v>
      </c>
      <c r="I65" s="10" t="s">
        <v>44</v>
      </c>
      <c r="J65" s="10" t="s">
        <v>745</v>
      </c>
      <c r="K65" s="10" t="s">
        <v>621</v>
      </c>
      <c r="L65" s="10" t="s">
        <v>976</v>
      </c>
      <c r="M65" s="10" t="s">
        <v>977</v>
      </c>
    </row>
    <row r="66">
      <c r="A66" s="10" t="s">
        <v>327</v>
      </c>
      <c r="B66" s="10" t="s">
        <v>953</v>
      </c>
      <c r="C66" s="10" t="s">
        <v>978</v>
      </c>
      <c r="D66" s="10" t="s">
        <v>328</v>
      </c>
      <c r="E66" s="10" t="s">
        <v>979</v>
      </c>
      <c r="F66" s="10" t="s">
        <v>627</v>
      </c>
      <c r="G66" s="10" t="s">
        <v>974</v>
      </c>
      <c r="H66" s="10" t="s">
        <v>980</v>
      </c>
      <c r="I66" s="10" t="s">
        <v>44</v>
      </c>
      <c r="J66" s="10" t="s">
        <v>745</v>
      </c>
      <c r="K66" s="10" t="s">
        <v>621</v>
      </c>
      <c r="L66" s="10" t="s">
        <v>976</v>
      </c>
      <c r="M66" s="10" t="s">
        <v>981</v>
      </c>
    </row>
    <row r="67">
      <c r="A67" s="10" t="s">
        <v>332</v>
      </c>
      <c r="B67" s="10" t="s">
        <v>953</v>
      </c>
      <c r="C67" s="10" t="s">
        <v>982</v>
      </c>
      <c r="D67" s="10" t="s">
        <v>333</v>
      </c>
      <c r="E67" s="10" t="s">
        <v>983</v>
      </c>
      <c r="F67" s="10" t="s">
        <v>627</v>
      </c>
      <c r="G67" s="10" t="s">
        <v>984</v>
      </c>
      <c r="H67" s="10" t="s">
        <v>985</v>
      </c>
      <c r="I67" s="10" t="s">
        <v>44</v>
      </c>
      <c r="J67" s="10" t="s">
        <v>745</v>
      </c>
      <c r="K67" s="10" t="s">
        <v>621</v>
      </c>
      <c r="L67" s="10" t="s">
        <v>986</v>
      </c>
      <c r="M67" s="10" t="s">
        <v>987</v>
      </c>
    </row>
    <row r="68">
      <c r="A68" s="10" t="s">
        <v>341</v>
      </c>
      <c r="B68" s="10" t="s">
        <v>953</v>
      </c>
      <c r="C68" s="10" t="s">
        <v>988</v>
      </c>
      <c r="D68" s="10" t="s">
        <v>342</v>
      </c>
      <c r="E68" s="10" t="s">
        <v>989</v>
      </c>
      <c r="F68" s="10" t="s">
        <v>627</v>
      </c>
      <c r="G68" s="10" t="s">
        <v>990</v>
      </c>
      <c r="H68" s="10" t="s">
        <v>991</v>
      </c>
      <c r="I68" s="10" t="s">
        <v>630</v>
      </c>
      <c r="J68" s="10" t="s">
        <v>620</v>
      </c>
      <c r="K68" s="10" t="s">
        <v>621</v>
      </c>
      <c r="L68" s="10" t="s">
        <v>992</v>
      </c>
      <c r="M68" s="10" t="s">
        <v>993</v>
      </c>
    </row>
    <row r="69">
      <c r="A69" s="10" t="s">
        <v>341</v>
      </c>
      <c r="B69" s="10" t="s">
        <v>953</v>
      </c>
      <c r="C69" s="10" t="s">
        <v>994</v>
      </c>
      <c r="D69" s="10" t="s">
        <v>342</v>
      </c>
      <c r="E69" s="10" t="s">
        <v>995</v>
      </c>
      <c r="F69" s="10" t="s">
        <v>996</v>
      </c>
      <c r="G69" s="10" t="s">
        <v>637</v>
      </c>
      <c r="H69" s="10" t="s">
        <v>997</v>
      </c>
      <c r="I69" s="10" t="s">
        <v>44</v>
      </c>
      <c r="J69" s="10" t="s">
        <v>998</v>
      </c>
      <c r="K69" s="10" t="s">
        <v>621</v>
      </c>
      <c r="L69" s="10" t="s">
        <v>999</v>
      </c>
      <c r="M69" s="10" t="s">
        <v>1000</v>
      </c>
    </row>
    <row r="70">
      <c r="A70" s="10" t="s">
        <v>348</v>
      </c>
      <c r="B70" s="10" t="s">
        <v>953</v>
      </c>
      <c r="C70" s="10" t="s">
        <v>1001</v>
      </c>
      <c r="D70" s="10" t="s">
        <v>349</v>
      </c>
      <c r="E70" s="10" t="s">
        <v>1002</v>
      </c>
      <c r="F70" s="10" t="s">
        <v>636</v>
      </c>
      <c r="G70" s="10" t="s">
        <v>637</v>
      </c>
      <c r="H70" s="10" t="s">
        <v>1003</v>
      </c>
      <c r="I70" s="10" t="s">
        <v>630</v>
      </c>
      <c r="J70" s="10" t="s">
        <v>670</v>
      </c>
      <c r="K70" s="10" t="s">
        <v>621</v>
      </c>
      <c r="L70" s="10" t="s">
        <v>1004</v>
      </c>
      <c r="M70" s="10" t="s">
        <v>1005</v>
      </c>
    </row>
    <row r="71">
      <c r="A71" s="10" t="s">
        <v>354</v>
      </c>
      <c r="B71" s="10" t="s">
        <v>953</v>
      </c>
      <c r="C71" s="10" t="s">
        <v>1006</v>
      </c>
      <c r="D71" s="10" t="s">
        <v>355</v>
      </c>
      <c r="E71" s="10" t="s">
        <v>1007</v>
      </c>
      <c r="F71" s="10" t="s">
        <v>617</v>
      </c>
      <c r="G71" s="10" t="s">
        <v>1008</v>
      </c>
      <c r="H71" s="10" t="s">
        <v>1009</v>
      </c>
      <c r="I71" s="10" t="s">
        <v>44</v>
      </c>
      <c r="J71" s="10" t="s">
        <v>620</v>
      </c>
      <c r="K71" s="10" t="s">
        <v>621</v>
      </c>
      <c r="L71" s="10" t="s">
        <v>1010</v>
      </c>
      <c r="M71" s="10" t="s">
        <v>1011</v>
      </c>
    </row>
    <row r="72">
      <c r="A72" s="10" t="s">
        <v>362</v>
      </c>
      <c r="B72" s="10" t="s">
        <v>953</v>
      </c>
      <c r="C72" s="10" t="s">
        <v>1012</v>
      </c>
      <c r="D72" s="10" t="s">
        <v>363</v>
      </c>
      <c r="E72" s="10" t="s">
        <v>1013</v>
      </c>
      <c r="F72" s="10" t="s">
        <v>617</v>
      </c>
      <c r="G72" s="10" t="s">
        <v>1008</v>
      </c>
      <c r="H72" s="10" t="s">
        <v>1014</v>
      </c>
      <c r="I72" s="10" t="s">
        <v>630</v>
      </c>
      <c r="J72" s="10" t="s">
        <v>1015</v>
      </c>
      <c r="K72" s="10" t="s">
        <v>621</v>
      </c>
      <c r="L72" s="10" t="s">
        <v>1016</v>
      </c>
      <c r="M72" s="10" t="s">
        <v>1017</v>
      </c>
    </row>
    <row r="73">
      <c r="A73" s="10" t="s">
        <v>369</v>
      </c>
      <c r="B73" s="10" t="s">
        <v>1018</v>
      </c>
      <c r="C73" s="10" t="s">
        <v>1019</v>
      </c>
      <c r="D73" s="10" t="s">
        <v>370</v>
      </c>
      <c r="E73" s="10" t="s">
        <v>1020</v>
      </c>
      <c r="F73" s="10" t="s">
        <v>617</v>
      </c>
      <c r="G73" s="10" t="s">
        <v>1021</v>
      </c>
      <c r="H73" s="10" t="s">
        <v>1022</v>
      </c>
      <c r="I73" s="10" t="s">
        <v>44</v>
      </c>
      <c r="J73" s="10" t="s">
        <v>620</v>
      </c>
      <c r="K73" s="10" t="s">
        <v>621</v>
      </c>
      <c r="L73" s="10" t="s">
        <v>1023</v>
      </c>
      <c r="M73" s="10" t="s">
        <v>1024</v>
      </c>
    </row>
    <row r="74">
      <c r="A74" s="10" t="s">
        <v>369</v>
      </c>
      <c r="B74" s="10" t="s">
        <v>1018</v>
      </c>
      <c r="C74" s="10" t="s">
        <v>1025</v>
      </c>
      <c r="D74" s="10" t="s">
        <v>370</v>
      </c>
      <c r="E74" s="10" t="s">
        <v>1026</v>
      </c>
      <c r="F74" s="10" t="s">
        <v>617</v>
      </c>
      <c r="G74" s="10" t="s">
        <v>1027</v>
      </c>
      <c r="H74" s="10" t="s">
        <v>1028</v>
      </c>
      <c r="I74" s="10" t="s">
        <v>44</v>
      </c>
      <c r="J74" s="10" t="s">
        <v>620</v>
      </c>
      <c r="K74" s="10" t="s">
        <v>621</v>
      </c>
      <c r="L74" s="10" t="s">
        <v>1029</v>
      </c>
      <c r="M74" s="10" t="s">
        <v>1030</v>
      </c>
    </row>
    <row r="75">
      <c r="A75" s="10" t="s">
        <v>369</v>
      </c>
      <c r="B75" s="10" t="s">
        <v>1018</v>
      </c>
      <c r="C75" s="10" t="s">
        <v>1031</v>
      </c>
      <c r="D75" s="10" t="s">
        <v>370</v>
      </c>
      <c r="E75" s="10" t="s">
        <v>1032</v>
      </c>
      <c r="F75" s="10" t="s">
        <v>617</v>
      </c>
      <c r="G75" s="10" t="s">
        <v>1021</v>
      </c>
      <c r="H75" s="10" t="s">
        <v>1033</v>
      </c>
      <c r="I75" s="10" t="s">
        <v>44</v>
      </c>
      <c r="J75" s="10" t="s">
        <v>1034</v>
      </c>
      <c r="K75" s="10" t="s">
        <v>621</v>
      </c>
      <c r="L75" s="10" t="s">
        <v>1035</v>
      </c>
      <c r="M75" s="10" t="s">
        <v>1036</v>
      </c>
    </row>
    <row r="76">
      <c r="A76" s="10" t="s">
        <v>440</v>
      </c>
      <c r="B76" s="10" t="s">
        <v>1037</v>
      </c>
      <c r="C76" s="10" t="s">
        <v>1038</v>
      </c>
      <c r="D76" s="10" t="s">
        <v>441</v>
      </c>
      <c r="E76" s="10" t="s">
        <v>1039</v>
      </c>
      <c r="F76" s="10" t="s">
        <v>617</v>
      </c>
      <c r="G76" s="10" t="s">
        <v>1040</v>
      </c>
      <c r="H76" s="10" t="s">
        <v>1041</v>
      </c>
      <c r="I76" s="10" t="s">
        <v>44</v>
      </c>
      <c r="J76" s="10" t="s">
        <v>620</v>
      </c>
      <c r="K76" s="10" t="s">
        <v>621</v>
      </c>
      <c r="L76" s="10" t="s">
        <v>1042</v>
      </c>
      <c r="M76" s="10" t="s">
        <v>1043</v>
      </c>
    </row>
    <row r="77">
      <c r="A77" s="10" t="s">
        <v>447</v>
      </c>
      <c r="B77" s="10" t="s">
        <v>1037</v>
      </c>
      <c r="C77" s="10" t="s">
        <v>1044</v>
      </c>
      <c r="D77" s="10" t="s">
        <v>448</v>
      </c>
      <c r="E77" s="10" t="s">
        <v>1045</v>
      </c>
      <c r="F77" s="10" t="s">
        <v>617</v>
      </c>
      <c r="G77" s="10" t="s">
        <v>1046</v>
      </c>
      <c r="H77" s="10" t="s">
        <v>1047</v>
      </c>
      <c r="I77" s="10" t="s">
        <v>44</v>
      </c>
      <c r="J77" s="10" t="s">
        <v>620</v>
      </c>
      <c r="K77" s="10" t="s">
        <v>621</v>
      </c>
      <c r="L77" s="10" t="s">
        <v>1048</v>
      </c>
      <c r="M77" s="10" t="s">
        <v>1049</v>
      </c>
    </row>
    <row r="78">
      <c r="A78" s="10" t="s">
        <v>457</v>
      </c>
      <c r="B78" s="10" t="s">
        <v>1037</v>
      </c>
      <c r="C78" s="10" t="s">
        <v>1050</v>
      </c>
      <c r="D78" s="10" t="s">
        <v>458</v>
      </c>
      <c r="E78" s="10" t="s">
        <v>1051</v>
      </c>
      <c r="F78" s="10" t="s">
        <v>617</v>
      </c>
      <c r="G78" s="10" t="s">
        <v>1052</v>
      </c>
      <c r="H78" s="10" t="s">
        <v>1053</v>
      </c>
      <c r="I78" s="10" t="s">
        <v>44</v>
      </c>
      <c r="J78" s="10" t="s">
        <v>620</v>
      </c>
      <c r="K78" s="10" t="s">
        <v>621</v>
      </c>
      <c r="L78" s="10" t="s">
        <v>895</v>
      </c>
      <c r="M78" s="10" t="s">
        <v>1054</v>
      </c>
    </row>
    <row r="79">
      <c r="A79" s="10" t="s">
        <v>463</v>
      </c>
      <c r="B79" s="10" t="s">
        <v>1037</v>
      </c>
      <c r="C79" s="10" t="s">
        <v>1055</v>
      </c>
      <c r="D79" s="10" t="s">
        <v>464</v>
      </c>
      <c r="E79" s="10" t="s">
        <v>1056</v>
      </c>
      <c r="F79" s="10" t="s">
        <v>617</v>
      </c>
      <c r="G79" s="10" t="s">
        <v>1052</v>
      </c>
      <c r="H79" s="10" t="s">
        <v>1057</v>
      </c>
      <c r="I79" s="10" t="s">
        <v>44</v>
      </c>
      <c r="J79" s="10" t="s">
        <v>620</v>
      </c>
      <c r="K79" s="10" t="s">
        <v>621</v>
      </c>
      <c r="L79" s="10" t="s">
        <v>1058</v>
      </c>
      <c r="M79" s="10" t="s">
        <v>1059</v>
      </c>
    </row>
    <row r="80">
      <c r="A80" s="10" t="s">
        <v>385</v>
      </c>
      <c r="B80" s="10" t="s">
        <v>1060</v>
      </c>
      <c r="C80" s="10" t="s">
        <v>1061</v>
      </c>
      <c r="D80" s="10" t="s">
        <v>386</v>
      </c>
      <c r="E80" s="10" t="s">
        <v>1062</v>
      </c>
      <c r="F80" s="10" t="s">
        <v>617</v>
      </c>
      <c r="G80" s="10" t="s">
        <v>1063</v>
      </c>
      <c r="H80" s="10" t="s">
        <v>1064</v>
      </c>
      <c r="I80" s="10" t="s">
        <v>44</v>
      </c>
      <c r="J80" s="10" t="s">
        <v>745</v>
      </c>
      <c r="K80" s="10" t="s">
        <v>621</v>
      </c>
      <c r="L80" s="10" t="s">
        <v>1065</v>
      </c>
      <c r="M80" s="10" t="s">
        <v>1066</v>
      </c>
    </row>
    <row r="81">
      <c r="A81" s="10" t="s">
        <v>385</v>
      </c>
      <c r="B81" s="10" t="s">
        <v>1060</v>
      </c>
      <c r="C81" s="10" t="s">
        <v>1067</v>
      </c>
      <c r="D81" s="10" t="s">
        <v>386</v>
      </c>
      <c r="E81" s="10" t="s">
        <v>1068</v>
      </c>
      <c r="F81" s="10" t="s">
        <v>627</v>
      </c>
      <c r="G81" s="10" t="s">
        <v>1069</v>
      </c>
      <c r="H81" s="10" t="s">
        <v>1070</v>
      </c>
      <c r="I81" s="10" t="s">
        <v>44</v>
      </c>
      <c r="J81" s="10" t="s">
        <v>1071</v>
      </c>
      <c r="K81" s="10" t="s">
        <v>621</v>
      </c>
      <c r="L81" s="10" t="s">
        <v>1072</v>
      </c>
      <c r="M81" s="10" t="s">
        <v>1073</v>
      </c>
    </row>
    <row r="82">
      <c r="A82" s="10" t="s">
        <v>385</v>
      </c>
      <c r="B82" s="10" t="s">
        <v>1060</v>
      </c>
      <c r="C82" s="10" t="s">
        <v>1074</v>
      </c>
      <c r="D82" s="10" t="s">
        <v>386</v>
      </c>
      <c r="E82" s="10" t="s">
        <v>1075</v>
      </c>
      <c r="F82" s="10" t="s">
        <v>650</v>
      </c>
      <c r="G82" s="10" t="s">
        <v>637</v>
      </c>
      <c r="H82" s="10" t="s">
        <v>1076</v>
      </c>
      <c r="I82" s="10" t="s">
        <v>44</v>
      </c>
      <c r="J82" s="10" t="s">
        <v>1077</v>
      </c>
      <c r="K82" s="10" t="s">
        <v>1078</v>
      </c>
      <c r="L82" s="10" t="s">
        <v>1079</v>
      </c>
      <c r="M82" s="10" t="s">
        <v>1080</v>
      </c>
    </row>
    <row r="83">
      <c r="A83" s="10" t="s">
        <v>385</v>
      </c>
      <c r="B83" s="10" t="s">
        <v>1060</v>
      </c>
      <c r="C83" s="10" t="s">
        <v>1081</v>
      </c>
      <c r="D83" s="10" t="s">
        <v>386</v>
      </c>
      <c r="E83" s="10" t="s">
        <v>1082</v>
      </c>
      <c r="F83" s="10" t="s">
        <v>617</v>
      </c>
      <c r="G83" s="10" t="s">
        <v>1069</v>
      </c>
      <c r="H83" s="10" t="s">
        <v>1083</v>
      </c>
      <c r="I83" s="10" t="s">
        <v>44</v>
      </c>
      <c r="J83" s="10" t="s">
        <v>1071</v>
      </c>
      <c r="K83" s="10" t="s">
        <v>621</v>
      </c>
      <c r="L83" s="10" t="s">
        <v>1084</v>
      </c>
      <c r="M83" s="10" t="s">
        <v>1080</v>
      </c>
    </row>
    <row r="84">
      <c r="A84" s="10" t="s">
        <v>391</v>
      </c>
      <c r="B84" s="10" t="s">
        <v>1060</v>
      </c>
      <c r="C84" s="10" t="s">
        <v>1085</v>
      </c>
      <c r="D84" s="10" t="s">
        <v>392</v>
      </c>
      <c r="E84" s="10" t="s">
        <v>1086</v>
      </c>
      <c r="F84" s="10" t="s">
        <v>617</v>
      </c>
      <c r="G84" s="10" t="s">
        <v>1063</v>
      </c>
      <c r="H84" s="10" t="s">
        <v>1087</v>
      </c>
      <c r="I84" s="10" t="s">
        <v>44</v>
      </c>
      <c r="J84" s="10" t="s">
        <v>620</v>
      </c>
      <c r="K84" s="10" t="s">
        <v>621</v>
      </c>
      <c r="L84" s="10" t="s">
        <v>1088</v>
      </c>
      <c r="M84" s="10" t="s">
        <v>1089</v>
      </c>
    </row>
    <row r="85">
      <c r="A85" s="10" t="s">
        <v>378</v>
      </c>
      <c r="B85" s="10" t="s">
        <v>1060</v>
      </c>
      <c r="C85" s="10" t="s">
        <v>1090</v>
      </c>
      <c r="D85" s="10" t="s">
        <v>379</v>
      </c>
      <c r="E85" s="10" t="s">
        <v>1091</v>
      </c>
      <c r="F85" s="10" t="s">
        <v>617</v>
      </c>
      <c r="G85" s="10" t="s">
        <v>1092</v>
      </c>
      <c r="H85" s="10" t="s">
        <v>1093</v>
      </c>
      <c r="I85" s="10" t="s">
        <v>44</v>
      </c>
      <c r="J85" s="10" t="s">
        <v>745</v>
      </c>
      <c r="K85" s="10" t="s">
        <v>621</v>
      </c>
      <c r="L85" s="10" t="s">
        <v>1094</v>
      </c>
      <c r="M85" s="10" t="s">
        <v>1095</v>
      </c>
    </row>
    <row r="86">
      <c r="A86" s="10" t="s">
        <v>428</v>
      </c>
      <c r="B86" s="10" t="s">
        <v>1037</v>
      </c>
      <c r="C86" s="10" t="s">
        <v>1096</v>
      </c>
      <c r="D86" s="10" t="s">
        <v>429</v>
      </c>
      <c r="E86" s="10" t="s">
        <v>1097</v>
      </c>
      <c r="F86" s="10" t="s">
        <v>627</v>
      </c>
      <c r="G86" s="10" t="s">
        <v>1098</v>
      </c>
      <c r="H86" s="10" t="s">
        <v>1099</v>
      </c>
      <c r="I86" s="10" t="s">
        <v>44</v>
      </c>
      <c r="J86" s="10" t="s">
        <v>620</v>
      </c>
      <c r="K86" s="10" t="s">
        <v>621</v>
      </c>
      <c r="L86" s="10" t="s">
        <v>1100</v>
      </c>
      <c r="M86" s="10" t="s">
        <v>1101</v>
      </c>
    </row>
    <row r="87">
      <c r="A87" s="10" t="s">
        <v>435</v>
      </c>
      <c r="B87" s="10" t="s">
        <v>1037</v>
      </c>
      <c r="C87" s="10" t="s">
        <v>1102</v>
      </c>
      <c r="D87" s="10" t="s">
        <v>436</v>
      </c>
      <c r="E87" s="10" t="s">
        <v>1103</v>
      </c>
      <c r="F87" s="10" t="s">
        <v>627</v>
      </c>
      <c r="G87" s="10" t="s">
        <v>1104</v>
      </c>
      <c r="H87" s="10" t="s">
        <v>1105</v>
      </c>
      <c r="I87" s="10" t="s">
        <v>630</v>
      </c>
      <c r="J87" s="10" t="s">
        <v>620</v>
      </c>
      <c r="K87" s="10" t="s">
        <v>621</v>
      </c>
      <c r="L87" s="10" t="s">
        <v>1106</v>
      </c>
      <c r="M87" s="10" t="s">
        <v>1107</v>
      </c>
    </row>
    <row r="88">
      <c r="A88" s="10" t="s">
        <v>428</v>
      </c>
      <c r="B88" s="10" t="s">
        <v>1037</v>
      </c>
      <c r="C88" s="10" t="s">
        <v>1108</v>
      </c>
      <c r="D88" s="10" t="s">
        <v>429</v>
      </c>
      <c r="E88" s="10" t="s">
        <v>1109</v>
      </c>
      <c r="F88" s="10" t="s">
        <v>627</v>
      </c>
      <c r="G88" s="10" t="s">
        <v>1110</v>
      </c>
      <c r="H88" s="10" t="s">
        <v>1111</v>
      </c>
      <c r="I88" s="10" t="s">
        <v>630</v>
      </c>
      <c r="J88" s="10" t="s">
        <v>756</v>
      </c>
      <c r="K88" s="10" t="s">
        <v>621</v>
      </c>
      <c r="L88" s="10" t="s">
        <v>1112</v>
      </c>
      <c r="M88" s="10" t="s">
        <v>1113</v>
      </c>
    </row>
    <row r="89">
      <c r="A89" s="10" t="s">
        <v>467</v>
      </c>
      <c r="B89" s="10" t="s">
        <v>1114</v>
      </c>
      <c r="C89" s="10" t="s">
        <v>1115</v>
      </c>
      <c r="D89" s="10" t="s">
        <v>468</v>
      </c>
      <c r="E89" s="10" t="s">
        <v>1116</v>
      </c>
      <c r="F89" s="10" t="s">
        <v>627</v>
      </c>
      <c r="G89" s="10" t="s">
        <v>1117</v>
      </c>
      <c r="H89" s="10" t="s">
        <v>1118</v>
      </c>
      <c r="I89" s="10" t="s">
        <v>44</v>
      </c>
      <c r="J89" s="10" t="s">
        <v>620</v>
      </c>
      <c r="K89" s="10" t="s">
        <v>621</v>
      </c>
      <c r="L89" s="10" t="s">
        <v>1119</v>
      </c>
      <c r="M89" s="10" t="s">
        <v>1120</v>
      </c>
    </row>
    <row r="90">
      <c r="A90" s="10" t="s">
        <v>467</v>
      </c>
      <c r="B90" s="10" t="s">
        <v>1114</v>
      </c>
      <c r="C90" s="10" t="s">
        <v>1121</v>
      </c>
      <c r="D90" s="10" t="s">
        <v>468</v>
      </c>
      <c r="E90" s="10" t="s">
        <v>1122</v>
      </c>
      <c r="F90" s="10" t="s">
        <v>617</v>
      </c>
      <c r="G90" s="10" t="s">
        <v>1063</v>
      </c>
      <c r="H90" s="10" t="s">
        <v>1123</v>
      </c>
      <c r="I90" s="10" t="s">
        <v>44</v>
      </c>
      <c r="J90" s="10" t="s">
        <v>620</v>
      </c>
      <c r="K90" s="10" t="s">
        <v>621</v>
      </c>
      <c r="L90" s="10" t="s">
        <v>1124</v>
      </c>
      <c r="M90" s="10" t="s">
        <v>1125</v>
      </c>
    </row>
    <row r="91">
      <c r="A91" s="10" t="s">
        <v>474</v>
      </c>
      <c r="B91" s="10" t="s">
        <v>1114</v>
      </c>
      <c r="C91" s="10" t="s">
        <v>1126</v>
      </c>
      <c r="D91" s="10" t="s">
        <v>475</v>
      </c>
      <c r="E91" s="10" t="s">
        <v>1127</v>
      </c>
      <c r="F91" s="10" t="s">
        <v>627</v>
      </c>
      <c r="G91" s="10" t="s">
        <v>705</v>
      </c>
      <c r="H91" s="10" t="s">
        <v>1128</v>
      </c>
      <c r="I91" s="10" t="s">
        <v>44</v>
      </c>
      <c r="J91" s="10" t="s">
        <v>756</v>
      </c>
      <c r="K91" s="10" t="s">
        <v>621</v>
      </c>
      <c r="L91" s="10" t="s">
        <v>1129</v>
      </c>
      <c r="M91" s="10" t="s">
        <v>1130</v>
      </c>
    </row>
    <row r="92">
      <c r="A92" s="10" t="s">
        <v>479</v>
      </c>
      <c r="B92" s="10" t="s">
        <v>1114</v>
      </c>
      <c r="C92" s="10" t="s">
        <v>1131</v>
      </c>
      <c r="D92" s="10" t="s">
        <v>480</v>
      </c>
      <c r="E92" s="10" t="s">
        <v>1132</v>
      </c>
      <c r="F92" s="10" t="s">
        <v>627</v>
      </c>
      <c r="G92" s="10" t="s">
        <v>1117</v>
      </c>
      <c r="H92" s="10" t="s">
        <v>1133</v>
      </c>
      <c r="I92" s="10" t="s">
        <v>44</v>
      </c>
      <c r="J92" s="10" t="s">
        <v>620</v>
      </c>
      <c r="K92" s="10" t="s">
        <v>621</v>
      </c>
      <c r="L92" s="10" t="s">
        <v>1134</v>
      </c>
      <c r="M92" s="10" t="s">
        <v>1135</v>
      </c>
    </row>
    <row r="93">
      <c r="A93" s="10" t="s">
        <v>482</v>
      </c>
      <c r="B93" s="10" t="s">
        <v>1114</v>
      </c>
      <c r="C93" s="10" t="s">
        <v>1136</v>
      </c>
      <c r="D93" s="10" t="s">
        <v>483</v>
      </c>
      <c r="E93" s="10" t="s">
        <v>1137</v>
      </c>
      <c r="F93" s="10" t="s">
        <v>636</v>
      </c>
      <c r="G93" s="10" t="s">
        <v>637</v>
      </c>
      <c r="H93" s="10" t="s">
        <v>1138</v>
      </c>
      <c r="I93" s="10" t="s">
        <v>44</v>
      </c>
      <c r="J93" s="10" t="s">
        <v>636</v>
      </c>
      <c r="K93" s="10" t="s">
        <v>621</v>
      </c>
      <c r="L93" s="10" t="s">
        <v>1139</v>
      </c>
      <c r="M93" s="10" t="s">
        <v>1140</v>
      </c>
    </row>
    <row r="94">
      <c r="A94" s="10" t="s">
        <v>487</v>
      </c>
      <c r="B94" s="10" t="s">
        <v>1114</v>
      </c>
      <c r="C94" s="10" t="s">
        <v>1141</v>
      </c>
      <c r="D94" s="10" t="s">
        <v>488</v>
      </c>
      <c r="E94" s="10" t="s">
        <v>1142</v>
      </c>
      <c r="F94" s="10" t="s">
        <v>636</v>
      </c>
      <c r="G94" s="10" t="s">
        <v>637</v>
      </c>
      <c r="H94" s="10" t="s">
        <v>1143</v>
      </c>
      <c r="I94" s="10" t="s">
        <v>44</v>
      </c>
      <c r="J94" s="10" t="s">
        <v>670</v>
      </c>
      <c r="K94" s="10" t="s">
        <v>621</v>
      </c>
      <c r="L94" s="10" t="s">
        <v>1144</v>
      </c>
      <c r="M94" s="10" t="s">
        <v>1145</v>
      </c>
    </row>
    <row r="95">
      <c r="A95" s="10" t="s">
        <v>493</v>
      </c>
      <c r="B95" s="10" t="s">
        <v>1114</v>
      </c>
      <c r="C95" s="10" t="s">
        <v>1146</v>
      </c>
      <c r="D95" s="10" t="s">
        <v>494</v>
      </c>
      <c r="E95" s="10" t="s">
        <v>1147</v>
      </c>
      <c r="F95" s="10" t="s">
        <v>617</v>
      </c>
      <c r="G95" s="10" t="s">
        <v>1148</v>
      </c>
      <c r="H95" s="10" t="s">
        <v>1149</v>
      </c>
      <c r="I95" s="10" t="s">
        <v>44</v>
      </c>
      <c r="J95" s="10" t="s">
        <v>620</v>
      </c>
      <c r="K95" s="10" t="s">
        <v>621</v>
      </c>
      <c r="L95" s="10" t="s">
        <v>895</v>
      </c>
      <c r="M95" s="10" t="s">
        <v>1150</v>
      </c>
    </row>
    <row r="96">
      <c r="A96" s="10" t="s">
        <v>497</v>
      </c>
      <c r="B96" s="10" t="s">
        <v>1114</v>
      </c>
      <c r="C96" s="10" t="s">
        <v>1151</v>
      </c>
      <c r="D96" s="10" t="s">
        <v>498</v>
      </c>
      <c r="E96" s="10" t="s">
        <v>1152</v>
      </c>
      <c r="F96" s="10" t="s">
        <v>617</v>
      </c>
      <c r="G96" s="10" t="s">
        <v>1153</v>
      </c>
      <c r="H96" s="10" t="s">
        <v>1154</v>
      </c>
      <c r="I96" s="10" t="s">
        <v>44</v>
      </c>
      <c r="J96" s="10" t="s">
        <v>620</v>
      </c>
      <c r="K96" s="10" t="s">
        <v>621</v>
      </c>
      <c r="L96" s="10" t="s">
        <v>1155</v>
      </c>
      <c r="M96" s="10" t="s">
        <v>1156</v>
      </c>
    </row>
    <row r="97">
      <c r="A97" s="10" t="s">
        <v>503</v>
      </c>
      <c r="B97" s="10" t="s">
        <v>1114</v>
      </c>
      <c r="C97" s="10" t="s">
        <v>1157</v>
      </c>
      <c r="D97" s="10" t="s">
        <v>504</v>
      </c>
      <c r="E97" s="10" t="s">
        <v>1158</v>
      </c>
      <c r="F97" s="10" t="s">
        <v>617</v>
      </c>
      <c r="G97" s="10" t="s">
        <v>1159</v>
      </c>
      <c r="H97" s="10" t="s">
        <v>1160</v>
      </c>
      <c r="I97" s="10" t="s">
        <v>44</v>
      </c>
      <c r="J97" s="10" t="s">
        <v>620</v>
      </c>
      <c r="K97" s="10" t="s">
        <v>621</v>
      </c>
      <c r="L97" s="10" t="s">
        <v>1161</v>
      </c>
      <c r="M97" s="10" t="s">
        <v>1162</v>
      </c>
    </row>
    <row r="98">
      <c r="A98" s="10" t="s">
        <v>508</v>
      </c>
      <c r="B98" s="10" t="s">
        <v>1114</v>
      </c>
      <c r="C98" s="10" t="s">
        <v>1163</v>
      </c>
      <c r="D98" s="10" t="s">
        <v>509</v>
      </c>
      <c r="E98" s="10" t="s">
        <v>1164</v>
      </c>
      <c r="F98" s="10" t="s">
        <v>627</v>
      </c>
      <c r="G98" s="10" t="s">
        <v>1165</v>
      </c>
      <c r="H98" s="10" t="s">
        <v>1166</v>
      </c>
      <c r="I98" s="10" t="s">
        <v>44</v>
      </c>
      <c r="J98" s="10" t="s">
        <v>620</v>
      </c>
      <c r="K98" s="10" t="s">
        <v>621</v>
      </c>
      <c r="L98" s="10" t="s">
        <v>1167</v>
      </c>
      <c r="M98" s="10" t="s">
        <v>1168</v>
      </c>
    </row>
    <row r="99">
      <c r="A99" s="10" t="s">
        <v>514</v>
      </c>
      <c r="B99" s="10" t="s">
        <v>1114</v>
      </c>
      <c r="C99" s="10" t="s">
        <v>1169</v>
      </c>
      <c r="D99" s="10" t="s">
        <v>515</v>
      </c>
      <c r="E99" s="10" t="s">
        <v>1170</v>
      </c>
      <c r="F99" s="10" t="s">
        <v>627</v>
      </c>
      <c r="G99" s="10" t="s">
        <v>1165</v>
      </c>
      <c r="H99" s="10" t="s">
        <v>1171</v>
      </c>
      <c r="I99" s="10" t="s">
        <v>44</v>
      </c>
      <c r="J99" s="10" t="s">
        <v>620</v>
      </c>
      <c r="K99" s="10" t="s">
        <v>621</v>
      </c>
      <c r="L99" s="10" t="s">
        <v>1172</v>
      </c>
      <c r="M99" s="10" t="s">
        <v>1173</v>
      </c>
    </row>
    <row r="100">
      <c r="A100" s="10" t="s">
        <v>519</v>
      </c>
      <c r="B100" s="10" t="s">
        <v>1174</v>
      </c>
      <c r="C100" s="10" t="s">
        <v>1175</v>
      </c>
      <c r="D100" s="10" t="s">
        <v>520</v>
      </c>
      <c r="E100" s="10" t="s">
        <v>1176</v>
      </c>
      <c r="F100" s="10" t="s">
        <v>617</v>
      </c>
      <c r="G100" s="10" t="s">
        <v>1052</v>
      </c>
      <c r="H100" s="10" t="s">
        <v>1177</v>
      </c>
      <c r="I100" s="10" t="s">
        <v>44</v>
      </c>
      <c r="J100" s="10" t="s">
        <v>620</v>
      </c>
      <c r="K100" s="10" t="s">
        <v>621</v>
      </c>
      <c r="L100" s="10" t="s">
        <v>1178</v>
      </c>
      <c r="M100" s="10" t="s">
        <v>1179</v>
      </c>
    </row>
    <row r="101">
      <c r="A101" s="10" t="s">
        <v>527</v>
      </c>
      <c r="B101" s="10" t="s">
        <v>1174</v>
      </c>
      <c r="C101" s="10" t="s">
        <v>1180</v>
      </c>
      <c r="D101" s="10" t="s">
        <v>528</v>
      </c>
      <c r="E101" s="10" t="s">
        <v>1181</v>
      </c>
      <c r="F101" s="10" t="s">
        <v>617</v>
      </c>
      <c r="G101" s="10" t="s">
        <v>1052</v>
      </c>
      <c r="H101" s="10" t="s">
        <v>1182</v>
      </c>
      <c r="I101" s="10" t="s">
        <v>44</v>
      </c>
      <c r="J101" s="10" t="s">
        <v>620</v>
      </c>
      <c r="K101" s="10" t="s">
        <v>621</v>
      </c>
      <c r="L101" s="10" t="s">
        <v>1183</v>
      </c>
      <c r="M101" s="10" t="s">
        <v>1184</v>
      </c>
    </row>
    <row r="102">
      <c r="A102" s="10" t="s">
        <v>532</v>
      </c>
      <c r="B102" s="10" t="s">
        <v>1174</v>
      </c>
      <c r="C102" s="10" t="s">
        <v>1185</v>
      </c>
      <c r="D102" s="10" t="s">
        <v>533</v>
      </c>
      <c r="E102" s="10" t="s">
        <v>1186</v>
      </c>
      <c r="F102" s="10" t="s">
        <v>617</v>
      </c>
      <c r="G102" s="10" t="s">
        <v>1052</v>
      </c>
      <c r="H102" s="10" t="s">
        <v>1187</v>
      </c>
      <c r="I102" s="10" t="s">
        <v>44</v>
      </c>
      <c r="J102" s="10" t="s">
        <v>620</v>
      </c>
      <c r="K102" s="10" t="s">
        <v>621</v>
      </c>
      <c r="L102" s="10" t="s">
        <v>1183</v>
      </c>
      <c r="M102" s="10" t="s">
        <v>1188</v>
      </c>
    </row>
    <row r="103">
      <c r="A103" s="10" t="s">
        <v>536</v>
      </c>
      <c r="B103" s="10" t="s">
        <v>1174</v>
      </c>
      <c r="C103" s="10" t="s">
        <v>1189</v>
      </c>
      <c r="D103" s="10" t="s">
        <v>537</v>
      </c>
      <c r="E103" s="10" t="s">
        <v>1190</v>
      </c>
      <c r="F103" s="10" t="s">
        <v>617</v>
      </c>
      <c r="G103" s="10" t="s">
        <v>1052</v>
      </c>
      <c r="H103" s="10" t="s">
        <v>1191</v>
      </c>
      <c r="I103" s="10" t="s">
        <v>44</v>
      </c>
      <c r="J103" s="10" t="s">
        <v>620</v>
      </c>
      <c r="K103" s="10" t="s">
        <v>621</v>
      </c>
      <c r="L103" s="10" t="s">
        <v>1183</v>
      </c>
      <c r="M103" s="10" t="s">
        <v>1192</v>
      </c>
    </row>
    <row r="104">
      <c r="A104" s="10" t="s">
        <v>540</v>
      </c>
      <c r="B104" s="10" t="s">
        <v>1174</v>
      </c>
      <c r="C104" s="10" t="s">
        <v>1193</v>
      </c>
      <c r="D104" s="10" t="s">
        <v>541</v>
      </c>
      <c r="E104" s="10" t="s">
        <v>1194</v>
      </c>
      <c r="F104" s="10" t="s">
        <v>617</v>
      </c>
      <c r="G104" s="10" t="s">
        <v>1052</v>
      </c>
      <c r="H104" s="10" t="s">
        <v>1195</v>
      </c>
      <c r="I104" s="10" t="s">
        <v>44</v>
      </c>
      <c r="J104" s="10" t="s">
        <v>620</v>
      </c>
      <c r="K104" s="10" t="s">
        <v>621</v>
      </c>
      <c r="L104" s="10" t="s">
        <v>1183</v>
      </c>
      <c r="M104" s="10" t="s">
        <v>1196</v>
      </c>
    </row>
    <row r="105">
      <c r="A105" s="10" t="s">
        <v>548</v>
      </c>
      <c r="B105" s="10" t="s">
        <v>1174</v>
      </c>
      <c r="C105" s="10" t="s">
        <v>1197</v>
      </c>
      <c r="D105" s="10" t="s">
        <v>549</v>
      </c>
      <c r="E105" s="10" t="s">
        <v>1198</v>
      </c>
      <c r="F105" s="10" t="s">
        <v>617</v>
      </c>
      <c r="G105" s="10" t="s">
        <v>1199</v>
      </c>
      <c r="H105" s="10" t="s">
        <v>1200</v>
      </c>
      <c r="I105" s="10" t="s">
        <v>44</v>
      </c>
      <c r="J105" s="10" t="s">
        <v>620</v>
      </c>
      <c r="K105" s="10" t="s">
        <v>621</v>
      </c>
      <c r="L105" s="10" t="s">
        <v>1201</v>
      </c>
      <c r="M105" s="10" t="s">
        <v>1202</v>
      </c>
    </row>
    <row r="106">
      <c r="A106" s="10" t="s">
        <v>548</v>
      </c>
      <c r="B106" s="10" t="s">
        <v>1174</v>
      </c>
      <c r="C106" s="10" t="s">
        <v>1203</v>
      </c>
      <c r="D106" s="10" t="s">
        <v>549</v>
      </c>
      <c r="E106" s="10" t="s">
        <v>1204</v>
      </c>
      <c r="F106" s="10" t="s">
        <v>627</v>
      </c>
      <c r="G106" s="10" t="s">
        <v>1205</v>
      </c>
      <c r="H106" s="10" t="s">
        <v>1206</v>
      </c>
      <c r="I106" s="10" t="s">
        <v>44</v>
      </c>
      <c r="J106" s="10" t="s">
        <v>1207</v>
      </c>
      <c r="K106" s="10" t="s">
        <v>621</v>
      </c>
      <c r="L106" s="10" t="s">
        <v>1208</v>
      </c>
      <c r="M106" s="10" t="s">
        <v>1209</v>
      </c>
    </row>
    <row r="107">
      <c r="A107" s="10" t="s">
        <v>557</v>
      </c>
      <c r="B107" s="10" t="s">
        <v>1174</v>
      </c>
      <c r="C107" s="10" t="s">
        <v>1210</v>
      </c>
      <c r="D107" s="10" t="s">
        <v>558</v>
      </c>
      <c r="E107" s="10" t="s">
        <v>1211</v>
      </c>
      <c r="F107" s="10" t="s">
        <v>627</v>
      </c>
      <c r="G107" s="10" t="s">
        <v>1117</v>
      </c>
      <c r="H107" s="10" t="s">
        <v>1212</v>
      </c>
      <c r="I107" s="10" t="s">
        <v>44</v>
      </c>
      <c r="J107" s="10" t="s">
        <v>620</v>
      </c>
      <c r="K107" s="10" t="s">
        <v>621</v>
      </c>
      <c r="L107" s="10" t="s">
        <v>1213</v>
      </c>
      <c r="M107" s="10" t="s">
        <v>1214</v>
      </c>
    </row>
    <row r="108">
      <c r="A108" s="10" t="s">
        <v>576</v>
      </c>
      <c r="B108" s="10" t="s">
        <v>613</v>
      </c>
      <c r="C108" s="10" t="s">
        <v>1215</v>
      </c>
      <c r="D108" s="10" t="s">
        <v>577</v>
      </c>
      <c r="E108" s="10" t="s">
        <v>1216</v>
      </c>
      <c r="F108" s="10" t="s">
        <v>617</v>
      </c>
      <c r="G108" s="10" t="s">
        <v>1217</v>
      </c>
      <c r="H108" s="10" t="s">
        <v>1218</v>
      </c>
      <c r="I108" s="10" t="s">
        <v>44</v>
      </c>
      <c r="J108" s="10" t="s">
        <v>620</v>
      </c>
      <c r="K108" s="10" t="s">
        <v>621</v>
      </c>
      <c r="L108" s="10" t="s">
        <v>1219</v>
      </c>
      <c r="M108" s="10" t="s">
        <v>1220</v>
      </c>
    </row>
    <row r="109">
      <c r="A109" s="10" t="s">
        <v>576</v>
      </c>
      <c r="B109" s="10" t="s">
        <v>613</v>
      </c>
      <c r="C109" s="10" t="s">
        <v>1221</v>
      </c>
      <c r="D109" s="10" t="s">
        <v>577</v>
      </c>
      <c r="E109" s="10" t="s">
        <v>1222</v>
      </c>
      <c r="F109" s="10" t="s">
        <v>627</v>
      </c>
      <c r="G109" s="10" t="s">
        <v>705</v>
      </c>
      <c r="H109" s="10" t="s">
        <v>1223</v>
      </c>
      <c r="I109" s="10" t="s">
        <v>44</v>
      </c>
      <c r="J109" s="10" t="s">
        <v>1224</v>
      </c>
      <c r="K109" s="10" t="s">
        <v>621</v>
      </c>
      <c r="L109" s="10" t="s">
        <v>1225</v>
      </c>
      <c r="M109" s="10" t="s">
        <v>1226</v>
      </c>
    </row>
    <row r="110">
      <c r="A110" s="10" t="s">
        <v>576</v>
      </c>
      <c r="B110" s="10" t="s">
        <v>613</v>
      </c>
      <c r="C110" s="10" t="s">
        <v>1227</v>
      </c>
      <c r="D110" s="10" t="s">
        <v>577</v>
      </c>
      <c r="E110" s="10" t="s">
        <v>1228</v>
      </c>
      <c r="F110" s="10" t="s">
        <v>617</v>
      </c>
      <c r="G110" s="10" t="s">
        <v>1217</v>
      </c>
      <c r="H110" s="10" t="s">
        <v>1229</v>
      </c>
      <c r="I110" s="10" t="s">
        <v>44</v>
      </c>
      <c r="J110" s="10" t="s">
        <v>1230</v>
      </c>
      <c r="K110" s="10" t="s">
        <v>621</v>
      </c>
      <c r="L110" s="10" t="s">
        <v>1231</v>
      </c>
      <c r="M110" s="10" t="s">
        <v>1232</v>
      </c>
    </row>
    <row r="111">
      <c r="A111" s="10" t="s">
        <v>576</v>
      </c>
      <c r="B111" s="10" t="s">
        <v>613</v>
      </c>
      <c r="C111" s="10" t="s">
        <v>1233</v>
      </c>
      <c r="D111" s="10" t="s">
        <v>577</v>
      </c>
      <c r="E111" s="10" t="s">
        <v>1234</v>
      </c>
      <c r="F111" s="10" t="s">
        <v>617</v>
      </c>
      <c r="G111" s="10" t="s">
        <v>1217</v>
      </c>
      <c r="H111" s="10" t="s">
        <v>1235</v>
      </c>
      <c r="I111" s="10" t="s">
        <v>44</v>
      </c>
      <c r="J111" s="10" t="s">
        <v>620</v>
      </c>
      <c r="K111" s="10" t="s">
        <v>621</v>
      </c>
      <c r="L111" s="10" t="s">
        <v>1236</v>
      </c>
      <c r="M111" s="10" t="s">
        <v>1237</v>
      </c>
    </row>
    <row r="112">
      <c r="A112" s="10" t="s">
        <v>584</v>
      </c>
      <c r="B112" s="10" t="s">
        <v>613</v>
      </c>
      <c r="C112" s="10" t="s">
        <v>1238</v>
      </c>
      <c r="D112" s="10" t="s">
        <v>585</v>
      </c>
      <c r="E112" s="10" t="s">
        <v>1239</v>
      </c>
      <c r="F112" s="10" t="s">
        <v>617</v>
      </c>
      <c r="G112" s="10" t="s">
        <v>1240</v>
      </c>
      <c r="H112" s="10" t="s">
        <v>1241</v>
      </c>
      <c r="I112" s="10" t="s">
        <v>44</v>
      </c>
      <c r="J112" s="10" t="s">
        <v>620</v>
      </c>
      <c r="K112" s="10" t="s">
        <v>621</v>
      </c>
      <c r="L112" s="10" t="s">
        <v>1242</v>
      </c>
      <c r="M112" s="10" t="s">
        <v>1243</v>
      </c>
    </row>
    <row r="113">
      <c r="A113" s="10" t="s">
        <v>584</v>
      </c>
      <c r="B113" s="10" t="s">
        <v>613</v>
      </c>
      <c r="C113" s="10" t="s">
        <v>1244</v>
      </c>
      <c r="D113" s="10" t="s">
        <v>585</v>
      </c>
      <c r="E113" s="10" t="s">
        <v>1245</v>
      </c>
      <c r="F113" s="10" t="s">
        <v>617</v>
      </c>
      <c r="G113" s="10" t="s">
        <v>1240</v>
      </c>
      <c r="H113" s="10" t="s">
        <v>1246</v>
      </c>
      <c r="I113" s="10" t="s">
        <v>44</v>
      </c>
      <c r="J113" s="10" t="s">
        <v>1247</v>
      </c>
      <c r="K113" s="10" t="s">
        <v>621</v>
      </c>
      <c r="L113" s="10" t="s">
        <v>1248</v>
      </c>
      <c r="M113" s="10" t="s">
        <v>1249</v>
      </c>
    </row>
    <row r="114">
      <c r="A114" s="10" t="s">
        <v>593</v>
      </c>
      <c r="B114" s="10" t="s">
        <v>613</v>
      </c>
      <c r="C114" s="10" t="s">
        <v>1250</v>
      </c>
      <c r="D114" s="10" t="s">
        <v>594</v>
      </c>
      <c r="E114" s="10" t="s">
        <v>1251</v>
      </c>
      <c r="F114" s="10" t="s">
        <v>636</v>
      </c>
      <c r="G114" s="10" t="s">
        <v>637</v>
      </c>
      <c r="H114" s="10" t="s">
        <v>1252</v>
      </c>
      <c r="I114" s="10" t="s">
        <v>44</v>
      </c>
      <c r="J114" s="10" t="s">
        <v>670</v>
      </c>
      <c r="K114" s="10" t="s">
        <v>621</v>
      </c>
      <c r="L114" s="10" t="s">
        <v>1253</v>
      </c>
      <c r="M114" s="10" t="s">
        <v>1254</v>
      </c>
    </row>
    <row r="115">
      <c r="A115" s="10" t="s">
        <v>593</v>
      </c>
      <c r="B115" s="10" t="s">
        <v>613</v>
      </c>
      <c r="C115" s="10" t="s">
        <v>1255</v>
      </c>
      <c r="D115" s="10" t="s">
        <v>594</v>
      </c>
      <c r="E115" s="10" t="s">
        <v>1256</v>
      </c>
      <c r="F115" s="10" t="s">
        <v>636</v>
      </c>
      <c r="G115" s="10" t="s">
        <v>637</v>
      </c>
      <c r="H115" s="10" t="s">
        <v>1257</v>
      </c>
      <c r="I115" s="10" t="s">
        <v>44</v>
      </c>
      <c r="J115" s="10" t="s">
        <v>1258</v>
      </c>
      <c r="K115" s="10" t="s">
        <v>621</v>
      </c>
      <c r="L115" s="10" t="s">
        <v>1144</v>
      </c>
      <c r="M115" s="10" t="s">
        <v>1259</v>
      </c>
    </row>
    <row r="116">
      <c r="A116" s="10" t="s">
        <v>593</v>
      </c>
      <c r="B116" s="10" t="s">
        <v>613</v>
      </c>
      <c r="C116" s="10" t="s">
        <v>1260</v>
      </c>
      <c r="D116" s="10" t="s">
        <v>594</v>
      </c>
      <c r="E116" s="10" t="s">
        <v>1261</v>
      </c>
      <c r="F116" s="10" t="s">
        <v>636</v>
      </c>
      <c r="G116" s="10" t="s">
        <v>637</v>
      </c>
      <c r="H116" s="10" t="s">
        <v>1262</v>
      </c>
      <c r="I116" s="10" t="s">
        <v>630</v>
      </c>
      <c r="J116" s="10" t="s">
        <v>1263</v>
      </c>
      <c r="K116" s="10" t="s">
        <v>621</v>
      </c>
      <c r="L116" s="10" t="s">
        <v>1264</v>
      </c>
      <c r="M116" s="10" t="s">
        <v>1265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1C15C41B-8F9B-4D89-A73D-F469A2062F2C}" type="list" allowBlank="1" errorStyle="stop" imeMode="noControl" operator="between" showDropDown="0" showErrorMessage="0" showInputMessage="0">
          <x14:formula1>
            <xm:f>"Texto,Entero,Decimal,Fecha,Booleano,Código,Coordenada / geometría"</xm:f>
          </x14:formula1>
          <xm:sqref>F5:F116</xm:sqref>
        </x14:dataValidation>
        <x14:dataValidation xr:uid="{14B612E6-1F56-4F68-B652-0A0D95CAA967}" type="list" allowBlank="1" errorStyle="stop" imeMode="noControl" operator="between" showDropDown="0" showErrorMessage="0" showInputMessage="0">
          <x14:formula1>
            <xm:f>"Sí,No"</xm:f>
          </x14:formula1>
          <xm:sqref>I5:I116</xm:sqref>
        </x14:dataValidation>
        <x14:dataValidation xr:uid="{2376AD8B-5695-44F0-BBA1-A771DEB649DC}" type="list" allowBlank="1" errorStyle="stop" imeMode="noControl" operator="between" showDropDown="0" showErrorMessage="0" showInputMessage="0">
          <x14:formula1>
            <xm:f>"Pública,Interna,Sensible,Dato personal"</xm:f>
          </x14:formula1>
          <xm:sqref>K5:K116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3" topLeftCell="B4" activePane="bottomRight" state="frozen"/>
      <selection activeCell="A1" activeCellId="0" sqref="A1"/>
    </sheetView>
  </sheetViews>
  <sheetFormatPr baseColWidth="10" defaultColWidth="8.83203125" defaultRowHeight="14.25"/>
  <cols>
    <col customWidth="1" min="1" max="1" width="5"/>
    <col customWidth="1" min="2" max="2" width="16"/>
    <col customWidth="1" min="3" max="4" width="36"/>
    <col customWidth="1" min="5" max="5" width="30"/>
    <col customWidth="1" min="6" max="6" width="16"/>
    <col customWidth="1" min="7" max="7" width="12"/>
    <col customWidth="1" min="8" max="8" width="30"/>
  </cols>
  <sheetData>
    <row r="1" ht="18" customHeight="1">
      <c r="A1" s="6" t="s">
        <v>1266</v>
      </c>
    </row>
    <row r="2">
      <c r="A2" s="7" t="s">
        <v>1267</v>
      </c>
    </row>
    <row r="3" ht="42" customHeight="1">
      <c r="A3" s="8" t="s">
        <v>1268</v>
      </c>
      <c r="B3" s="8" t="s">
        <v>1269</v>
      </c>
      <c r="C3" s="8" t="s">
        <v>1270</v>
      </c>
      <c r="D3" s="8" t="s">
        <v>1271</v>
      </c>
      <c r="E3" s="8" t="s">
        <v>1272</v>
      </c>
      <c r="F3" s="8" t="s">
        <v>1273</v>
      </c>
      <c r="G3" s="8" t="s">
        <v>1274</v>
      </c>
      <c r="H3" s="8" t="s">
        <v>1275</v>
      </c>
    </row>
    <row r="4" ht="52" customHeight="1">
      <c r="A4" s="9" t="s">
        <v>1276</v>
      </c>
      <c r="B4" s="9" t="s">
        <v>1277</v>
      </c>
      <c r="C4" s="9" t="s">
        <v>1278</v>
      </c>
      <c r="D4" s="9" t="s">
        <v>1279</v>
      </c>
      <c r="E4" s="9" t="s">
        <v>1280</v>
      </c>
      <c r="F4" s="9" t="s">
        <v>1281</v>
      </c>
      <c r="G4" s="9" t="s">
        <v>36</v>
      </c>
      <c r="H4" s="9" t="s">
        <v>1282</v>
      </c>
    </row>
    <row r="5" ht="63.75">
      <c r="A5" s="10">
        <v>1</v>
      </c>
      <c r="B5" s="10" t="s">
        <v>1277</v>
      </c>
      <c r="C5" s="10" t="s">
        <v>1283</v>
      </c>
      <c r="D5" s="10" t="s">
        <v>1284</v>
      </c>
      <c r="E5" s="10" t="s">
        <v>1285</v>
      </c>
      <c r="F5" s="10" t="s">
        <v>1281</v>
      </c>
      <c r="G5" s="10" t="s">
        <v>1286</v>
      </c>
      <c r="H5" s="10" t="s">
        <v>1287</v>
      </c>
    </row>
    <row r="6" ht="51">
      <c r="A6" s="10">
        <v>2</v>
      </c>
      <c r="B6" s="10" t="s">
        <v>1277</v>
      </c>
      <c r="C6" s="10" t="s">
        <v>1288</v>
      </c>
      <c r="D6" s="10" t="s">
        <v>1289</v>
      </c>
      <c r="E6" s="10" t="s">
        <v>1290</v>
      </c>
      <c r="F6" s="10" t="s">
        <v>1281</v>
      </c>
      <c r="G6" s="10" t="s">
        <v>1291</v>
      </c>
      <c r="H6" s="10" t="s">
        <v>1292</v>
      </c>
    </row>
    <row r="7" ht="76.5">
      <c r="A7" s="10">
        <v>3</v>
      </c>
      <c r="B7" s="10" t="s">
        <v>1277</v>
      </c>
      <c r="C7" s="10" t="s">
        <v>1293</v>
      </c>
      <c r="D7" s="10" t="s">
        <v>1294</v>
      </c>
      <c r="E7" s="10" t="s">
        <v>1295</v>
      </c>
      <c r="F7" s="10" t="s">
        <v>1281</v>
      </c>
      <c r="G7" s="10" t="s">
        <v>1296</v>
      </c>
      <c r="H7" s="10" t="s">
        <v>1297</v>
      </c>
    </row>
    <row r="8" ht="228">
      <c r="A8" s="10">
        <v>4</v>
      </c>
      <c r="B8" s="10" t="s">
        <v>1277</v>
      </c>
      <c r="C8" s="10" t="s">
        <v>1298</v>
      </c>
      <c r="D8" s="12" t="s">
        <v>1299</v>
      </c>
      <c r="E8" s="10" t="s">
        <v>1300</v>
      </c>
      <c r="F8" s="10" t="s">
        <v>1281</v>
      </c>
      <c r="G8" s="10" t="s">
        <v>1301</v>
      </c>
      <c r="H8" s="10"/>
    </row>
    <row r="9" ht="63.75">
      <c r="A9" s="10">
        <v>5</v>
      </c>
      <c r="B9" s="10" t="s">
        <v>1277</v>
      </c>
      <c r="C9" s="10" t="s">
        <v>1302</v>
      </c>
      <c r="D9" s="10" t="s">
        <v>1303</v>
      </c>
      <c r="E9" s="10" t="s">
        <v>1304</v>
      </c>
      <c r="F9" s="10" t="s">
        <v>1305</v>
      </c>
      <c r="G9" s="10" t="s">
        <v>1306</v>
      </c>
      <c r="H9" s="10" t="s">
        <v>1307</v>
      </c>
    </row>
    <row r="10" ht="63.75">
      <c r="A10" s="10">
        <v>6</v>
      </c>
      <c r="B10" s="10" t="s">
        <v>1277</v>
      </c>
      <c r="C10" s="10" t="s">
        <v>1308</v>
      </c>
      <c r="D10" s="10" t="s">
        <v>1309</v>
      </c>
      <c r="E10" s="10" t="s">
        <v>1310</v>
      </c>
      <c r="F10" s="10" t="s">
        <v>1305</v>
      </c>
      <c r="G10" s="10" t="s">
        <v>1311</v>
      </c>
      <c r="H10" s="10"/>
    </row>
    <row r="11" ht="63.75" customHeight="1">
      <c r="A11" s="10">
        <v>7</v>
      </c>
      <c r="B11" s="10" t="s">
        <v>1277</v>
      </c>
      <c r="C11" s="10" t="s">
        <v>1312</v>
      </c>
      <c r="D11" s="10" t="s">
        <v>1313</v>
      </c>
      <c r="E11" s="10" t="s">
        <v>1314</v>
      </c>
      <c r="F11" s="10" t="s">
        <v>1305</v>
      </c>
      <c r="G11" s="10" t="s">
        <v>1315</v>
      </c>
      <c r="H11" s="10" t="s">
        <v>1316</v>
      </c>
    </row>
    <row r="12" ht="63.75" customHeight="1">
      <c r="A12" s="10">
        <v>8</v>
      </c>
      <c r="B12" s="10" t="s">
        <v>1277</v>
      </c>
      <c r="C12" s="10" t="s">
        <v>1317</v>
      </c>
      <c r="D12" s="10" t="s">
        <v>1318</v>
      </c>
      <c r="E12" s="10" t="s">
        <v>1319</v>
      </c>
      <c r="F12" s="10" t="s">
        <v>1305</v>
      </c>
      <c r="G12" s="10" t="s">
        <v>1320</v>
      </c>
      <c r="H12" s="10" t="s">
        <v>1321</v>
      </c>
    </row>
    <row r="13" ht="63.75" customHeight="1">
      <c r="A13" s="10">
        <v>9</v>
      </c>
      <c r="B13" s="10" t="s">
        <v>1277</v>
      </c>
      <c r="C13" s="10" t="s">
        <v>1322</v>
      </c>
      <c r="D13" s="10" t="s">
        <v>1323</v>
      </c>
      <c r="E13" s="10" t="s">
        <v>1324</v>
      </c>
      <c r="F13" s="10" t="s">
        <v>1305</v>
      </c>
      <c r="G13" s="10" t="s">
        <v>1325</v>
      </c>
      <c r="H13" s="10" t="s">
        <v>1326</v>
      </c>
    </row>
    <row r="14" ht="63.75" customHeight="1">
      <c r="A14" s="10">
        <v>10</v>
      </c>
      <c r="B14" s="10" t="s">
        <v>1277</v>
      </c>
      <c r="C14" s="10" t="s">
        <v>1327</v>
      </c>
      <c r="D14" s="10" t="s">
        <v>1328</v>
      </c>
      <c r="E14" s="10" t="s">
        <v>1329</v>
      </c>
      <c r="F14" s="10" t="s">
        <v>1305</v>
      </c>
      <c r="G14" s="10" t="s">
        <v>1330</v>
      </c>
      <c r="H14" s="10" t="s">
        <v>1331</v>
      </c>
    </row>
    <row r="15" ht="63.75" customHeight="1">
      <c r="A15" s="10">
        <v>11</v>
      </c>
      <c r="B15" s="10" t="s">
        <v>1277</v>
      </c>
      <c r="C15" s="10" t="s">
        <v>1332</v>
      </c>
      <c r="D15" s="10" t="s">
        <v>1333</v>
      </c>
      <c r="E15" s="10" t="s">
        <v>1334</v>
      </c>
      <c r="F15" s="10" t="s">
        <v>1305</v>
      </c>
      <c r="G15" s="10" t="s">
        <v>1335</v>
      </c>
      <c r="H15" s="10" t="s">
        <v>1336</v>
      </c>
    </row>
    <row r="16" ht="63.75" customHeight="1">
      <c r="A16" s="10">
        <v>12</v>
      </c>
      <c r="B16" s="10" t="s">
        <v>1277</v>
      </c>
      <c r="C16" s="10" t="s">
        <v>1337</v>
      </c>
      <c r="D16" s="10" t="s">
        <v>1338</v>
      </c>
      <c r="E16" s="10" t="s">
        <v>1339</v>
      </c>
      <c r="F16" s="10" t="s">
        <v>1305</v>
      </c>
      <c r="G16" s="10" t="s">
        <v>1340</v>
      </c>
      <c r="H16" s="10" t="s">
        <v>1341</v>
      </c>
    </row>
    <row r="17" ht="63.75" customHeight="1">
      <c r="A17" s="10">
        <v>13</v>
      </c>
      <c r="B17" s="10" t="s">
        <v>1277</v>
      </c>
      <c r="C17" s="10" t="s">
        <v>1342</v>
      </c>
      <c r="D17" s="10" t="s">
        <v>1343</v>
      </c>
      <c r="E17" s="10" t="s">
        <v>1344</v>
      </c>
      <c r="F17" s="10" t="s">
        <v>1305</v>
      </c>
      <c r="G17" s="10" t="s">
        <v>1345</v>
      </c>
      <c r="H17" s="10" t="s">
        <v>1346</v>
      </c>
    </row>
    <row r="18" ht="63.75" customHeight="1">
      <c r="A18" s="10">
        <v>14</v>
      </c>
      <c r="B18" s="10" t="s">
        <v>1277</v>
      </c>
      <c r="C18" s="10" t="s">
        <v>1347</v>
      </c>
      <c r="D18" s="10" t="s">
        <v>1348</v>
      </c>
      <c r="E18" s="10" t="s">
        <v>1349</v>
      </c>
      <c r="F18" s="10" t="s">
        <v>1305</v>
      </c>
      <c r="G18" s="10" t="s">
        <v>1350</v>
      </c>
      <c r="H18" s="10" t="s">
        <v>1351</v>
      </c>
    </row>
    <row r="19" ht="63.75" customHeight="1">
      <c r="A19" s="10">
        <v>15</v>
      </c>
      <c r="B19" s="10" t="s">
        <v>1277</v>
      </c>
      <c r="C19" s="10" t="s">
        <v>1352</v>
      </c>
      <c r="D19" s="10" t="s">
        <v>1353</v>
      </c>
      <c r="E19" s="10" t="s">
        <v>1354</v>
      </c>
      <c r="F19" s="10" t="s">
        <v>1305</v>
      </c>
      <c r="G19" s="10" t="s">
        <v>1355</v>
      </c>
      <c r="H19" s="10" t="s">
        <v>1356</v>
      </c>
    </row>
    <row r="20" ht="63.75" customHeight="1">
      <c r="A20" s="10">
        <v>16</v>
      </c>
      <c r="B20" s="10" t="s">
        <v>1277</v>
      </c>
      <c r="C20" s="10" t="s">
        <v>1357</v>
      </c>
      <c r="D20" s="10" t="s">
        <v>1358</v>
      </c>
      <c r="E20" s="10" t="s">
        <v>1359</v>
      </c>
      <c r="F20" s="10" t="s">
        <v>1305</v>
      </c>
      <c r="G20" s="10" t="s">
        <v>1345</v>
      </c>
      <c r="H20" s="10" t="s">
        <v>1360</v>
      </c>
    </row>
    <row r="21" ht="63.75" customHeight="1">
      <c r="A21" s="10">
        <v>17</v>
      </c>
      <c r="B21" s="10" t="s">
        <v>1277</v>
      </c>
      <c r="C21" s="10" t="s">
        <v>1361</v>
      </c>
      <c r="D21" s="10" t="s">
        <v>1362</v>
      </c>
      <c r="E21" s="10" t="s">
        <v>1363</v>
      </c>
      <c r="F21" s="10" t="s">
        <v>1305</v>
      </c>
      <c r="G21" s="10" t="s">
        <v>1364</v>
      </c>
      <c r="H21" s="10" t="s">
        <v>1365</v>
      </c>
    </row>
    <row r="22" ht="63.75" customHeight="1">
      <c r="A22" s="10">
        <v>18</v>
      </c>
      <c r="B22" s="10" t="s">
        <v>1277</v>
      </c>
      <c r="C22" s="10" t="s">
        <v>1366</v>
      </c>
      <c r="D22" s="10" t="s">
        <v>1367</v>
      </c>
      <c r="E22" s="10" t="s">
        <v>1368</v>
      </c>
      <c r="F22" s="10" t="s">
        <v>1281</v>
      </c>
      <c r="G22" s="10" t="s">
        <v>1369</v>
      </c>
      <c r="H22" s="10" t="s">
        <v>1370</v>
      </c>
    </row>
    <row r="23">
      <c r="A23" s="10"/>
      <c r="B23" s="10"/>
      <c r="C23" s="10"/>
      <c r="D23" s="10"/>
      <c r="E23" s="10"/>
      <c r="F23" s="10"/>
      <c r="G23" s="10"/>
      <c r="H23" s="10"/>
    </row>
    <row r="24">
      <c r="A24" s="10"/>
      <c r="B24" s="10"/>
      <c r="C24" s="10"/>
      <c r="D24" s="10"/>
      <c r="E24" s="10"/>
      <c r="F24" s="10"/>
      <c r="G24" s="10"/>
      <c r="H24" s="10"/>
    </row>
    <row r="25">
      <c r="A25" s="10"/>
      <c r="B25" s="10"/>
      <c r="C25" s="10"/>
      <c r="D25" s="10"/>
      <c r="E25" s="10"/>
      <c r="F25" s="10"/>
      <c r="G25" s="10"/>
      <c r="H25" s="10"/>
    </row>
    <row r="26">
      <c r="A26" s="10"/>
      <c r="B26" s="10"/>
      <c r="C26" s="10"/>
      <c r="D26" s="10"/>
      <c r="E26" s="10"/>
      <c r="F26" s="10"/>
      <c r="G26" s="10"/>
      <c r="H26" s="10"/>
    </row>
    <row r="27">
      <c r="A27" s="10"/>
      <c r="B27" s="10"/>
      <c r="C27" s="10"/>
      <c r="D27" s="10"/>
      <c r="E27" s="10"/>
      <c r="F27" s="10"/>
      <c r="G27" s="10"/>
      <c r="H27" s="10"/>
    </row>
    <row r="28">
      <c r="A28" s="10"/>
      <c r="B28" s="10"/>
      <c r="C28" s="10"/>
      <c r="D28" s="10"/>
      <c r="E28" s="10"/>
      <c r="F28" s="10"/>
      <c r="G28" s="10"/>
      <c r="H28" s="10"/>
    </row>
    <row r="29">
      <c r="A29" s="10"/>
      <c r="B29" s="10"/>
      <c r="C29" s="10"/>
      <c r="D29" s="10"/>
      <c r="E29" s="10"/>
      <c r="F29" s="10"/>
      <c r="G29" s="10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0"/>
      <c r="B31" s="10"/>
      <c r="C31" s="10"/>
      <c r="D31" s="10"/>
      <c r="E31" s="10"/>
      <c r="F31" s="10"/>
      <c r="G31" s="10"/>
      <c r="H31" s="10"/>
    </row>
    <row r="32">
      <c r="A32" s="10"/>
      <c r="B32" s="10"/>
      <c r="C32" s="10"/>
      <c r="D32" s="10"/>
      <c r="E32" s="10"/>
      <c r="F32" s="10"/>
      <c r="G32" s="10"/>
      <c r="H32" s="10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0"/>
      <c r="B34" s="10"/>
      <c r="C34" s="10"/>
      <c r="D34" s="10"/>
      <c r="E34" s="10"/>
      <c r="F34" s="10"/>
      <c r="G34" s="10"/>
      <c r="H34" s="10"/>
    </row>
    <row r="35">
      <c r="A35" s="10"/>
      <c r="B35" s="10"/>
      <c r="C35" s="10"/>
      <c r="D35" s="10"/>
      <c r="E35" s="10"/>
      <c r="F35" s="10"/>
      <c r="G35" s="10"/>
      <c r="H35" s="10"/>
    </row>
    <row r="36">
      <c r="A36" s="10"/>
      <c r="B36" s="10"/>
      <c r="C36" s="10"/>
      <c r="D36" s="10"/>
      <c r="E36" s="10"/>
      <c r="F36" s="10"/>
      <c r="G36" s="10"/>
      <c r="H36" s="10"/>
    </row>
    <row r="37">
      <c r="A37" s="10"/>
      <c r="B37" s="10"/>
      <c r="C37" s="10"/>
      <c r="D37" s="10"/>
      <c r="E37" s="10"/>
      <c r="F37" s="10"/>
      <c r="G37" s="10"/>
      <c r="H37" s="10"/>
    </row>
    <row r="38">
      <c r="A38" s="10"/>
      <c r="B38" s="10"/>
      <c r="C38" s="10"/>
      <c r="D38" s="10"/>
      <c r="E38" s="10"/>
      <c r="F38" s="10"/>
      <c r="G38" s="10"/>
      <c r="H38" s="10"/>
    </row>
    <row r="39">
      <c r="A39" s="10"/>
      <c r="B39" s="10"/>
      <c r="C39" s="10"/>
      <c r="D39" s="10"/>
      <c r="E39" s="10"/>
      <c r="F39" s="10"/>
      <c r="G39" s="10"/>
      <c r="H39" s="10"/>
    </row>
    <row r="40">
      <c r="A40" s="10"/>
      <c r="B40" s="10"/>
      <c r="C40" s="10"/>
      <c r="D40" s="10"/>
      <c r="E40" s="10"/>
      <c r="F40" s="10"/>
      <c r="G40" s="10"/>
      <c r="H40" s="10"/>
    </row>
    <row r="41">
      <c r="A41" s="10"/>
      <c r="B41" s="10"/>
      <c r="C41" s="10"/>
      <c r="D41" s="10"/>
      <c r="E41" s="10"/>
      <c r="F41" s="10"/>
      <c r="G41" s="10"/>
      <c r="H41" s="10"/>
    </row>
    <row r="42">
      <c r="A42" s="10"/>
      <c r="B42" s="10"/>
      <c r="C42" s="10"/>
      <c r="D42" s="10"/>
      <c r="E42" s="10"/>
      <c r="F42" s="10"/>
      <c r="G42" s="10"/>
      <c r="H42" s="10"/>
    </row>
    <row r="43">
      <c r="A43" s="10"/>
      <c r="B43" s="10"/>
      <c r="C43" s="10"/>
      <c r="D43" s="10"/>
      <c r="E43" s="10"/>
      <c r="F43" s="10"/>
      <c r="G43" s="10"/>
      <c r="H43" s="10"/>
    </row>
    <row r="44">
      <c r="A44" s="10"/>
      <c r="B44" s="10"/>
      <c r="C44" s="10"/>
      <c r="D44" s="10"/>
      <c r="E44" s="10"/>
      <c r="F44" s="10"/>
      <c r="G44" s="10"/>
      <c r="H44" s="10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8.83203125" defaultRowHeight="14.25"/>
  <cols>
    <col customWidth="1" min="1" max="1" width="48"/>
    <col customWidth="1" min="2" max="2" width="14"/>
  </cols>
  <sheetData>
    <row r="1" ht="18" customHeight="1">
      <c r="A1" s="6" t="s">
        <v>1371</v>
      </c>
    </row>
    <row r="2">
      <c r="A2" s="7" t="s">
        <v>1372</v>
      </c>
    </row>
    <row r="4">
      <c r="A4" s="13" t="s">
        <v>1373</v>
      </c>
      <c r="B4" s="14">
        <f>COUNTA('1. Fuentes'!A5:A96)</f>
        <v>92</v>
      </c>
    </row>
    <row r="5">
      <c r="A5" s="15" t="s">
        <v>1374</v>
      </c>
      <c r="B5" s="14">
        <f>COUNTIF('1. Fuentes'!N5:N96,"Integrada al lago")</f>
        <v>91</v>
      </c>
    </row>
    <row r="6">
      <c r="A6" s="15" t="s">
        <v>1375</v>
      </c>
      <c r="B6" s="14">
        <f>COUNTIF('1. Fuentes'!N5:N96,"Candidata")</f>
        <v>1</v>
      </c>
    </row>
    <row r="7">
      <c r="A7" s="15" t="s">
        <v>1376</v>
      </c>
      <c r="B7" s="14">
        <f>COUNTIF('1. Fuentes'!N5:N96,"No responde")</f>
        <v>0</v>
      </c>
    </row>
    <row r="8">
      <c r="A8" s="15" t="s">
        <v>1377</v>
      </c>
      <c r="B8" s="14">
        <f>COUNTIF('1. Fuentes'!N5:N96,"No existe (la inventó la IA)")</f>
        <v>0</v>
      </c>
    </row>
    <row r="9">
      <c r="A9" s="15" t="s">
        <v>1378</v>
      </c>
      <c r="B9" s="14">
        <f>COUNTIF('1. Fuentes'!N5:N96,"Descartada")</f>
        <v>0</v>
      </c>
    </row>
    <row r="10">
      <c r="A10" s="13" t="s">
        <v>1379</v>
      </c>
      <c r="B10" s="14">
        <f>COUNTIF('1. Fuentes'!H5:H96,"no declara")+COUNTIFS('1. Fuentes'!A5:A96,"&lt;&gt;",'1. Fuentes'!H5:H96,"")</f>
        <v>64</v>
      </c>
    </row>
    <row r="11">
      <c r="A11" s="13" t="s">
        <v>1380</v>
      </c>
      <c r="B11" s="14">
        <f>COUNTIF('1. Fuentes'!I5:I96,"Personas identificables")+COUNTIF('1. Fuentes'!I5:I96,"Texto libre sin revisar")</f>
        <v>2</v>
      </c>
    </row>
    <row r="12">
      <c r="A12" s="13" t="s">
        <v>1381</v>
      </c>
      <c r="B12" s="14">
        <f>COUNTA('2. Diccionario'!C5:C116)</f>
        <v>112</v>
      </c>
    </row>
    <row r="13">
      <c r="A13" s="15" t="s">
        <v>1382</v>
      </c>
      <c r="B13" s="14">
        <f>COUNTIF('2. Diccionario'!K5:K116,"Sensible")+COUNTIF('2. Diccionario'!K5:K116,"Dato personal")</f>
        <v>1</v>
      </c>
    </row>
    <row r="14">
      <c r="A14" s="15" t="s">
        <v>1383</v>
      </c>
      <c r="B14" s="14">
        <f>COUNTIFS('2. Diccionario'!C5:C116,"&lt;&gt;",'2. Diccionario'!M5:M116,"")</f>
        <v>0</v>
      </c>
    </row>
    <row r="15">
      <c r="A15" s="13" t="s">
        <v>1384</v>
      </c>
      <c r="B15" s="14">
        <f>COUNTA('3. Bitácora IA'!C5:C96)</f>
        <v>18</v>
      </c>
    </row>
    <row r="16">
      <c r="A16" s="15" t="s">
        <v>1385</v>
      </c>
      <c r="B16" s="14">
        <f>COUNTIF('3. Bitácora IA'!F5:F96,"Parcial")</f>
        <v>5</v>
      </c>
    </row>
    <row r="17">
      <c r="A17" s="13" t="s">
        <v>1386</v>
      </c>
      <c r="B17" s="16">
        <f>IF(B15=0,"-",COUNTIF('3. Bitácora IA'!F5:F96,"Completo")/B15)</f>
        <v>0.72222222222222221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10</cp:revision>
  <dcterms:created xsi:type="dcterms:W3CDTF">2026-09-28T11:22:59Z</dcterms:created>
  <dcterms:modified xsi:type="dcterms:W3CDTF">2026-10-06T18:01:13Z</dcterms:modified>
</cp:coreProperties>
</file>